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osts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BreakEven" sheetId="5" state="visible" r:id="rId5"/>
    <sheet xmlns:r="http://schemas.openxmlformats.org/officeDocument/2006/relationships" name="Calc_Pess" sheetId="6" state="visible" r:id="rId6"/>
    <sheet xmlns:r="http://schemas.openxmlformats.org/officeDocument/2006/relationships" name="Calc_Base" sheetId="7" state="visible" r:id="rId7"/>
    <sheet xmlns:r="http://schemas.openxmlformats.org/officeDocument/2006/relationships" name="Calc_Op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נטו מצטבר (₪) לפי תרחיש</a:t>
            </a:r>
          </a:p>
        </rich>
      </tx>
    </title>
    <plotArea>
      <lineChart>
        <grouping val="standard"/>
        <ser>
          <idx val="0"/>
          <order val="0"/>
          <tx>
            <strRef>
              <f>'Scenarios'!A13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'Scenarios'!$B$12:$Y$12</f>
            </numRef>
          </cat>
          <val>
            <numRef>
              <f>'Scenarios'!$B$13:$Y$13</f>
            </numRef>
          </val>
        </ser>
        <ser>
          <idx val="1"/>
          <order val="1"/>
          <tx>
            <strRef>
              <f>'Scenarios'!A14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'Scenarios'!$B$12:$Y$12</f>
            </numRef>
          </cat>
          <val>
            <numRef>
              <f>'Scenarios'!$B$14:$Y$14</f>
            </numRef>
          </val>
        </ser>
        <ser>
          <idx val="2"/>
          <order val="2"/>
          <tx>
            <strRef>
              <f>'Scenarios'!A15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'Scenarios'!$B$12:$Y$12</f>
            </numRef>
          </cat>
          <val>
            <numRef>
              <f>'Scenarios'!$B$15:$Y$15</f>
            </numRef>
          </val>
        </ser>
        <ser>
          <idx val="3"/>
          <order val="3"/>
          <tx>
            <strRef>
              <f>'Scenarios'!A16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'Scenarios'!$B$12:$Y$12</f>
            </numRef>
          </cat>
          <val>
            <numRef>
              <f>'Scenarios'!$B$16:$Y$16</f>
            </numRef>
          </val>
        </ser>
        <ser>
          <idx val="4"/>
          <order val="4"/>
          <tx>
            <strRef>
              <f>'Scenarios'!A17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'Scenarios'!$B$12:$Y$12</f>
            </numRef>
          </cat>
          <val>
            <numRef>
              <f>'Scenarios'!$B$17:$Y$17</f>
            </numRef>
          </val>
        </ser>
        <ser>
          <idx val="5"/>
          <order val="5"/>
          <tx>
            <strRef>
              <f>'Scenarios'!A18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'Scenarios'!$B$12:$Y$12</f>
            </numRef>
          </cat>
          <val>
            <numRef>
              <f>'Scenarios'!$B$18:$Y$18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חודש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₪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rightToLeft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הנחות יסוד - יוצאים מהמרוץ (תאים כחולים = קלט; כל שאר הגיליונות נוסחאות)</t>
        </is>
      </c>
    </row>
    <row r="3">
      <c r="A3" t="inlineStr">
        <is>
          <t>מתג תרחיש (1=פסימי, 2=בסיס, 3=אופטימי)</t>
        </is>
      </c>
      <c r="C3" s="2" t="n">
        <v>2</v>
      </c>
    </row>
    <row r="4">
      <c r="A4" t="inlineStr">
        <is>
          <t>מתג שפה (1=עברית בלבד, 2=עברית+אנגלית)</t>
        </is>
      </c>
      <c r="C4" s="2" t="n">
        <v>2</v>
      </c>
    </row>
    <row r="5">
      <c r="A5" t="inlineStr">
        <is>
          <t>תרחיש פעיל (שם)</t>
        </is>
      </c>
      <c r="C5">
        <f>CHOOSE(C3,"פסימי","בסיס","אופטימי")</f>
        <v/>
      </c>
    </row>
    <row r="7">
      <c r="A7" s="3" t="inlineStr">
        <is>
          <t>הנחה</t>
        </is>
      </c>
      <c r="B7" s="3" t="inlineStr">
        <is>
          <t>יחידה</t>
        </is>
      </c>
      <c r="C7" s="3" t="inlineStr">
        <is>
          <t>פסימי</t>
        </is>
      </c>
      <c r="D7" s="3" t="inlineStr">
        <is>
          <t>בסיס</t>
        </is>
      </c>
      <c r="E7" s="3" t="inlineStr">
        <is>
          <t>אופטימי</t>
        </is>
      </c>
      <c r="F7" s="3" t="inlineStr">
        <is>
          <t>מקור / הערה</t>
        </is>
      </c>
    </row>
    <row r="8">
      <c r="A8" s="3" t="inlineStr">
        <is>
          <t>מחירים (מקור: business/sales/pricing.md - מועתק מילה במילה)</t>
        </is>
      </c>
    </row>
    <row r="9">
      <c r="A9" t="inlineStr">
        <is>
          <t>remove_ads - מחיר כולל מע"מ</t>
        </is>
      </c>
      <c r="B9" t="inlineStr">
        <is>
          <t>₪</t>
        </is>
      </c>
      <c r="C9" s="2" t="n">
        <v>14.9</v>
      </c>
      <c r="D9" s="2" t="n">
        <v>14.9</v>
      </c>
      <c r="E9" s="2" t="n">
        <v>14.9</v>
      </c>
      <c r="F9" t="inlineStr">
        <is>
          <t>pricing.md</t>
        </is>
      </c>
    </row>
    <row r="10">
      <c r="A10" t="inlineStr">
        <is>
          <t>premium_pack - מחיר כולל מע"מ</t>
        </is>
      </c>
      <c r="B10" t="inlineStr">
        <is>
          <t>₪</t>
        </is>
      </c>
      <c r="C10" s="2" t="n">
        <v>19.9</v>
      </c>
      <c r="D10" s="2" t="n">
        <v>19.9</v>
      </c>
      <c r="E10" s="2" t="n">
        <v>19.9</v>
      </c>
      <c r="F10" t="inlineStr">
        <is>
          <t>pricing.md</t>
        </is>
      </c>
    </row>
    <row r="11">
      <c r="A11" t="inlineStr">
        <is>
          <t>bundle_all - מחיר כולל מע"מ</t>
        </is>
      </c>
      <c r="B11" t="inlineStr">
        <is>
          <t>₪</t>
        </is>
      </c>
      <c r="C11" s="2" t="n">
        <v>29.9</v>
      </c>
      <c r="D11" s="2" t="n">
        <v>29.9</v>
      </c>
      <c r="E11" s="2" t="n">
        <v>29.9</v>
      </c>
      <c r="F11" t="inlineStr">
        <is>
          <t>pricing.md</t>
        </is>
      </c>
    </row>
    <row r="12">
      <c r="A12" t="inlineStr">
        <is>
          <t>remove_ads - מחיר דולר</t>
        </is>
      </c>
      <c r="B12" t="inlineStr">
        <is>
          <t>$</t>
        </is>
      </c>
      <c r="C12" s="2" t="n">
        <v>3.99</v>
      </c>
      <c r="D12" s="2" t="n">
        <v>3.99</v>
      </c>
      <c r="E12" s="2" t="n">
        <v>3.99</v>
      </c>
      <c r="F12" t="inlineStr">
        <is>
          <t>pricing.md</t>
        </is>
      </c>
    </row>
    <row r="13">
      <c r="A13" t="inlineStr">
        <is>
          <t>premium_pack - מחיר דולר</t>
        </is>
      </c>
      <c r="B13" t="inlineStr">
        <is>
          <t>$</t>
        </is>
      </c>
      <c r="C13" s="2" t="n">
        <v>4.99</v>
      </c>
      <c r="D13" s="2" t="n">
        <v>4.99</v>
      </c>
      <c r="E13" s="2" t="n">
        <v>4.99</v>
      </c>
      <c r="F13" t="inlineStr">
        <is>
          <t>pricing.md</t>
        </is>
      </c>
    </row>
    <row r="14">
      <c r="A14" t="inlineStr">
        <is>
          <t>bundle_all - מחיר דולר</t>
        </is>
      </c>
      <c r="B14" t="inlineStr">
        <is>
          <t>$</t>
        </is>
      </c>
      <c r="C14" s="2" t="n">
        <v>6.99</v>
      </c>
      <c r="D14" s="2" t="n">
        <v>6.99</v>
      </c>
      <c r="E14" s="2" t="n">
        <v>6.99</v>
      </c>
      <c r="F14" t="inlineStr">
        <is>
          <t>pricing.md</t>
        </is>
      </c>
    </row>
    <row r="15">
      <c r="A15" t="inlineStr">
        <is>
          <t>B2B כיתה (לפני מע"מ, לשנה)</t>
        </is>
      </c>
      <c r="B15" t="inlineStr">
        <is>
          <t>₪</t>
        </is>
      </c>
      <c r="C15" s="2" t="n">
        <v>149</v>
      </c>
      <c r="D15" s="2" t="n">
        <v>149</v>
      </c>
      <c r="E15" s="2" t="n">
        <v>149</v>
      </c>
      <c r="F15" t="inlineStr">
        <is>
          <t>pricing.md</t>
        </is>
      </c>
    </row>
    <row r="16">
      <c r="A16" t="inlineStr">
        <is>
          <t>B2B בית ספר (עד 12 כיתות)</t>
        </is>
      </c>
      <c r="B16" t="inlineStr">
        <is>
          <t>₪</t>
        </is>
      </c>
      <c r="C16" s="2" t="n">
        <v>450</v>
      </c>
      <c r="D16" s="2" t="n">
        <v>450</v>
      </c>
      <c r="E16" s="2" t="n">
        <v>450</v>
      </c>
      <c r="F16" t="inlineStr">
        <is>
          <t>pricing.md. מסלול רשת 350 לבית ספר לא מוּדל (שמרני)</t>
        </is>
      </c>
    </row>
    <row r="17">
      <c r="A17" t="inlineStr">
        <is>
          <t>B2B תנועת נוער / עמותה</t>
        </is>
      </c>
      <c r="B17" t="inlineStr">
        <is>
          <t>₪</t>
        </is>
      </c>
      <c r="C17" s="2" t="n">
        <v>1200</v>
      </c>
      <c r="D17" s="2" t="n">
        <v>1200</v>
      </c>
      <c r="E17" s="2" t="n">
        <v>1200</v>
      </c>
      <c r="F17" t="inlineStr">
        <is>
          <t>pricing.md</t>
        </is>
      </c>
    </row>
    <row r="18">
      <c r="A18" s="3" t="inlineStr">
        <is>
          <t>עמלות, מסים ושערים</t>
        </is>
      </c>
    </row>
    <row r="19">
      <c r="A19" t="inlineStr">
        <is>
          <t>עמלת חנות</t>
        </is>
      </c>
      <c r="B19" t="inlineStr">
        <is>
          <t>%</t>
        </is>
      </c>
      <c r="C19" s="4" t="n">
        <v>0.15</v>
      </c>
      <c r="D19" s="4" t="n">
        <v>0.15</v>
      </c>
      <c r="E19" s="4" t="n">
        <v>0.15</v>
      </c>
      <c r="F19" t="inlineStr">
        <is>
          <t>pricing.md (small business 15%); לאמת תנאים עדכניים</t>
        </is>
      </c>
    </row>
    <row r="20">
      <c r="A20" t="inlineStr">
        <is>
          <t>מע"מ ישראל (מחיר החנות כולל מע"מ)</t>
        </is>
      </c>
      <c r="B20" t="inlineStr">
        <is>
          <t>%</t>
        </is>
      </c>
      <c r="C20" s="4" t="n">
        <v>0.18</v>
      </c>
      <c r="D20" s="4" t="n">
        <v>0.18</v>
      </c>
      <c r="E20" s="4" t="n">
        <v>0.18</v>
      </c>
      <c r="F20" t="inlineStr">
        <is>
          <t>הנחה: 18%; לאמת. העמלה מחושבת על המחיר נטו</t>
        </is>
      </c>
    </row>
    <row r="21">
      <c r="A21" t="inlineStr">
        <is>
          <t>ניכוי מסים ממוצע בשוק אנגלי (מכירה/VAT)</t>
        </is>
      </c>
      <c r="B21" t="inlineStr">
        <is>
          <t>%</t>
        </is>
      </c>
      <c r="C21" s="4" t="n">
        <v>0.1</v>
      </c>
      <c r="D21" s="4" t="n">
        <v>0.1</v>
      </c>
      <c r="E21" s="4" t="n">
        <v>0.1</v>
      </c>
      <c r="F21" t="inlineStr">
        <is>
          <t>estimate</t>
        </is>
      </c>
    </row>
    <row r="22">
      <c r="A22" t="inlineStr">
        <is>
          <t>שער $ ל-₪</t>
        </is>
      </c>
      <c r="B22" t="inlineStr">
        <is>
          <t>₪/$</t>
        </is>
      </c>
      <c r="C22" s="2" t="n">
        <v>3.6</v>
      </c>
      <c r="D22" s="2" t="n">
        <v>3.6</v>
      </c>
      <c r="E22" s="2" t="n">
        <v>3.6</v>
      </c>
      <c r="F22" t="inlineStr">
        <is>
          <t>estimate - לעדכן</t>
        </is>
      </c>
    </row>
    <row r="23">
      <c r="A23" s="3" t="inlineStr">
        <is>
          <t>מיקס רכישות (מתוך הרוכשים)</t>
        </is>
      </c>
    </row>
    <row r="24">
      <c r="A24" t="inlineStr">
        <is>
          <t>חלק remove_ads</t>
        </is>
      </c>
      <c r="B24" t="inlineStr">
        <is>
          <t>%</t>
        </is>
      </c>
      <c r="C24" s="4" t="n">
        <v>0.4</v>
      </c>
      <c r="D24" s="4" t="n">
        <v>0.4</v>
      </c>
      <c r="E24" s="4" t="n">
        <v>0.4</v>
      </c>
      <c r="F24" t="inlineStr">
        <is>
          <t>estimate</t>
        </is>
      </c>
    </row>
    <row r="25">
      <c r="A25" t="inlineStr">
        <is>
          <t>חלק premium_pack</t>
        </is>
      </c>
      <c r="B25" t="inlineStr">
        <is>
          <t>%</t>
        </is>
      </c>
      <c r="C25" s="4" t="n">
        <v>0.25</v>
      </c>
      <c r="D25" s="4" t="n">
        <v>0.25</v>
      </c>
      <c r="E25" s="4" t="n">
        <v>0.25</v>
      </c>
      <c r="F25" t="inlineStr">
        <is>
          <t>estimate</t>
        </is>
      </c>
    </row>
    <row r="26">
      <c r="A26" t="inlineStr">
        <is>
          <t>חלק bundle_all</t>
        </is>
      </c>
      <c r="B26" t="inlineStr">
        <is>
          <t>%</t>
        </is>
      </c>
      <c r="C26" s="4" t="n">
        <v>0.35</v>
      </c>
      <c r="D26" s="4" t="n">
        <v>0.35</v>
      </c>
      <c r="E26" s="4" t="n">
        <v>0.35</v>
      </c>
      <c r="F26" t="inlineStr">
        <is>
          <t>estimate; סכום חייב להיות 100%</t>
        </is>
      </c>
    </row>
    <row r="27">
      <c r="A27" s="3" t="inlineStr">
        <is>
          <t>התקנות (אורגני)</t>
        </is>
      </c>
    </row>
    <row r="28">
      <c r="A28" t="inlineStr">
        <is>
          <t>התקנות אורגניות בחודש - עברית (חודש 1)</t>
        </is>
      </c>
      <c r="B28" t="inlineStr">
        <is>
          <t>התקנות</t>
        </is>
      </c>
      <c r="C28" s="2" t="n">
        <v>200</v>
      </c>
      <c r="D28" s="2" t="n">
        <v>1000</v>
      </c>
      <c r="E28" s="2" t="n">
        <v>5000</v>
      </c>
      <c r="F28" t="inlineStr">
        <is>
          <t>unit-economics skill (estimate)</t>
        </is>
      </c>
    </row>
    <row r="29">
      <c r="A29" t="inlineStr">
        <is>
          <t>צמיחה חודשית בהתקנות</t>
        </is>
      </c>
      <c r="B29" t="inlineStr">
        <is>
          <t>%</t>
        </is>
      </c>
      <c r="C29" s="4" t="n">
        <v>0</v>
      </c>
      <c r="D29" s="4" t="n">
        <v>0.02</v>
      </c>
      <c r="E29" s="4" t="n">
        <v>0.04</v>
      </c>
      <c r="F29" t="inlineStr">
        <is>
          <t>estimate</t>
        </is>
      </c>
    </row>
    <row r="30">
      <c r="A30" t="inlineStr">
        <is>
          <t>התקנות אורגניות בחודש - אנגלית (מחודש ההשקה)</t>
        </is>
      </c>
      <c r="B30" t="inlineStr">
        <is>
          <t>התקנות</t>
        </is>
      </c>
      <c r="C30" s="2" t="n">
        <v>100</v>
      </c>
      <c r="D30" s="2" t="n">
        <v>500</v>
      </c>
      <c r="E30" s="2" t="n">
        <v>3000</v>
      </c>
      <c r="F30" t="inlineStr">
        <is>
          <t>estimate; שוק גדול אך תחרותי ובלי שיווק</t>
        </is>
      </c>
    </row>
    <row r="31">
      <c r="A31" t="inlineStr">
        <is>
          <t>חודש השקת גרסה אנגלית</t>
        </is>
      </c>
      <c r="B31" t="inlineStr">
        <is>
          <t>חודש</t>
        </is>
      </c>
      <c r="C31" s="2" t="n">
        <v>4</v>
      </c>
      <c r="D31" s="2" t="n">
        <v>4</v>
      </c>
      <c r="E31" s="2" t="n">
        <v>4</v>
      </c>
      <c r="F31" t="inlineStr">
        <is>
          <t>estimate (דורש תרגום + i18n)</t>
        </is>
      </c>
    </row>
    <row r="32">
      <c r="A32" t="inlineStr">
        <is>
          <t>עלות להתקנה בבדיקות פרסום בתשלום</t>
        </is>
      </c>
      <c r="B32" t="inlineStr">
        <is>
          <t>₪</t>
        </is>
      </c>
      <c r="C32" s="2" t="n">
        <v>3</v>
      </c>
      <c r="D32" s="2" t="n">
        <v>3</v>
      </c>
      <c r="E32" s="2" t="n">
        <v>3</v>
      </c>
      <c r="F32" t="inlineStr">
        <is>
          <t>estimate (ישראל, Android)</t>
        </is>
      </c>
    </row>
    <row r="33">
      <c r="A33" t="inlineStr">
        <is>
          <t>תקציב פרסום בתשלום לחודש</t>
        </is>
      </c>
      <c r="B33" t="inlineStr">
        <is>
          <t>₪</t>
        </is>
      </c>
      <c r="C33" s="2" t="n">
        <v>500</v>
      </c>
      <c r="D33" s="2" t="n">
        <v>500</v>
      </c>
      <c r="E33" s="2" t="n">
        <v>1000</v>
      </c>
      <c r="F33" t="inlineStr">
        <is>
          <t>estimate; בדיקה קטנה בלבד</t>
        </is>
      </c>
    </row>
    <row r="34">
      <c r="A34" t="inlineStr">
        <is>
          <t>חודש התחלת פרסום בתשלום</t>
        </is>
      </c>
      <c r="B34" t="inlineStr">
        <is>
          <t>חודש</t>
        </is>
      </c>
      <c r="C34" s="2" t="n">
        <v>2</v>
      </c>
      <c r="D34" s="2" t="n">
        <v>2</v>
      </c>
      <c r="E34" s="2" t="n">
        <v>2</v>
      </c>
      <c r="F34" t="inlineStr">
        <is>
          <t>estimate</t>
        </is>
      </c>
    </row>
    <row r="35">
      <c r="A35" t="inlineStr">
        <is>
          <t>חודש סיום פרסום בתשלום</t>
        </is>
      </c>
      <c r="B35" t="inlineStr">
        <is>
          <t>חודש</t>
        </is>
      </c>
      <c r="C35" s="2" t="n">
        <v>3</v>
      </c>
      <c r="D35" s="2" t="n">
        <v>3</v>
      </c>
      <c r="E35" s="2" t="n">
        <v>3</v>
      </c>
      <c r="F35" t="inlineStr">
        <is>
          <t>estimate</t>
        </is>
      </c>
    </row>
    <row r="36">
      <c r="A36" s="3" t="inlineStr">
        <is>
          <t>שימור ופעילות</t>
        </is>
      </c>
    </row>
    <row r="37">
      <c r="A37" t="inlineStr">
        <is>
          <t>שימור D1</t>
        </is>
      </c>
      <c r="B37" t="inlineStr">
        <is>
          <t>%</t>
        </is>
      </c>
      <c r="C37" s="4" t="n">
        <v>0.25</v>
      </c>
      <c r="D37" s="4" t="n">
        <v>0.35</v>
      </c>
      <c r="E37" s="4" t="n">
        <v>0.45</v>
      </c>
      <c r="F37" t="inlineStr">
        <is>
          <t>unit-economics skill (estimate)</t>
        </is>
      </c>
    </row>
    <row r="38">
      <c r="A38" t="inlineStr">
        <is>
          <t>שימור D7</t>
        </is>
      </c>
      <c r="B38" t="inlineStr">
        <is>
          <t>%</t>
        </is>
      </c>
      <c r="C38" s="4" t="n">
        <v>0.08</v>
      </c>
      <c r="D38" s="4" t="n">
        <v>0.12</v>
      </c>
      <c r="E38" s="4" t="n">
        <v>0.18</v>
      </c>
      <c r="F38" t="inlineStr">
        <is>
          <t>unit-economics skill (estimate)</t>
        </is>
      </c>
    </row>
    <row r="39">
      <c r="A39" t="inlineStr">
        <is>
          <t>שימור D30</t>
        </is>
      </c>
      <c r="B39" t="inlineStr">
        <is>
          <t>%</t>
        </is>
      </c>
      <c r="C39" s="4" t="n">
        <v>0.03</v>
      </c>
      <c r="D39" s="4" t="n">
        <v>0.05</v>
      </c>
      <c r="E39" s="4" t="n">
        <v>0.08</v>
      </c>
      <c r="F39" t="inlineStr">
        <is>
          <t>unit-economics skill (estimate)</t>
        </is>
      </c>
    </row>
    <row r="40">
      <c r="A40" t="inlineStr">
        <is>
          <t>דעיכה חודשית של שחקנים ותיקים (מעבר לחודש 1)</t>
        </is>
      </c>
      <c r="B40" t="inlineStr">
        <is>
          <t>x</t>
        </is>
      </c>
      <c r="C40" s="2" t="n">
        <v>0.8</v>
      </c>
      <c r="D40" s="2" t="n">
        <v>0.85</v>
      </c>
      <c r="E40" s="2" t="n">
        <v>0.9</v>
      </c>
      <c r="F40" t="inlineStr">
        <is>
          <t>estimate</t>
        </is>
      </c>
    </row>
    <row r="41">
      <c r="A41" t="inlineStr">
        <is>
          <t>משחקים ביום למשתמש פעיל (DAU)</t>
        </is>
      </c>
      <c r="B41" t="inlineStr">
        <is>
          <t>משחקים</t>
        </is>
      </c>
      <c r="C41" s="2" t="n">
        <v>1</v>
      </c>
      <c r="D41" s="2" t="n">
        <v>1.2</v>
      </c>
      <c r="E41" s="2" t="n">
        <v>1.5</v>
      </c>
      <c r="F41" t="inlineStr">
        <is>
          <t>estimate; משחק = 15-25 תורות</t>
        </is>
      </c>
    </row>
    <row r="42">
      <c r="A42" s="3" t="inlineStr">
        <is>
          <t>פרסומות (כללי monetization.md: מתוגמלת עד 3 למשחק, ביניים עד 1 למשחק ולא בסשן ראשון)</t>
        </is>
      </c>
    </row>
    <row r="43">
      <c r="A43" t="inlineStr">
        <is>
          <t>מודעות ביניים למשחק (לפני סינון)</t>
        </is>
      </c>
      <c r="B43" t="inlineStr">
        <is>
          <t>מודעות</t>
        </is>
      </c>
      <c r="C43" s="2" t="n">
        <v>0.4</v>
      </c>
      <c r="D43" s="2" t="n">
        <v>0.5</v>
      </c>
      <c r="E43" s="2" t="n">
        <v>0.6</v>
      </c>
      <c r="F43" t="inlineStr">
        <is>
          <t>monetization.md: עד 1 למשחק, לא בראשון, מרווח 3 דק'</t>
        </is>
      </c>
    </row>
    <row r="44">
      <c r="A44" t="inlineStr">
        <is>
          <t>מודעות מתוגמלות למשחק</t>
        </is>
      </c>
      <c r="B44" t="inlineStr">
        <is>
          <t>מודעות</t>
        </is>
      </c>
      <c r="C44" s="2" t="n">
        <v>0.3</v>
      </c>
      <c r="D44" s="2" t="n">
        <v>0.5</v>
      </c>
      <c r="E44" s="2" t="n">
        <v>0.8</v>
      </c>
      <c r="F44" t="inlineStr">
        <is>
          <t>monetization.md: תקרה 3; יעד הצטרפות 20-40% מה-DAU</t>
        </is>
      </c>
    </row>
    <row r="45">
      <c r="A45" t="inlineStr">
        <is>
          <t>חלק משחקי מצב משפחה (ללא ביניים)</t>
        </is>
      </c>
      <c r="B45" t="inlineStr">
        <is>
          <t>%</t>
        </is>
      </c>
      <c r="C45" s="4" t="n">
        <v>0.3</v>
      </c>
      <c r="D45" s="4" t="n">
        <v>0.3</v>
      </c>
      <c r="E45" s="4" t="n">
        <v>0.3</v>
      </c>
      <c r="F45" t="inlineStr">
        <is>
          <t>monetization.md: מומלץ בלי ביניים; estimate לחלק</t>
        </is>
      </c>
    </row>
    <row r="46">
      <c r="A46" t="inlineStr">
        <is>
          <t>שיעור מילוי (fill rate)</t>
        </is>
      </c>
      <c r="B46" t="inlineStr">
        <is>
          <t>%</t>
        </is>
      </c>
      <c r="C46" s="4" t="n">
        <v>0.7</v>
      </c>
      <c r="D46" s="4" t="n">
        <v>0.8</v>
      </c>
      <c r="E46" s="4" t="n">
        <v>0.9</v>
      </c>
      <c r="F46" t="inlineStr">
        <is>
          <t>estimate</t>
        </is>
      </c>
    </row>
    <row r="47">
      <c r="A47" t="inlineStr">
        <is>
          <t>eCPM מתוגמלת - ישראל</t>
        </is>
      </c>
      <c r="B47" t="inlineStr">
        <is>
          <t>$</t>
        </is>
      </c>
      <c r="C47" s="2" t="n">
        <v>4</v>
      </c>
      <c r="D47" s="2" t="n">
        <v>7</v>
      </c>
      <c r="E47" s="2" t="n">
        <v>12</v>
      </c>
      <c r="F47" t="inlineStr">
        <is>
          <t>estimate; לא אומת מול נתוני רשת - לאמת במדיאציה</t>
        </is>
      </c>
    </row>
    <row r="48">
      <c r="A48" t="inlineStr">
        <is>
          <t>eCPM ביניים - ישראל</t>
        </is>
      </c>
      <c r="B48" t="inlineStr">
        <is>
          <t>$</t>
        </is>
      </c>
      <c r="C48" s="2" t="n">
        <v>2</v>
      </c>
      <c r="D48" s="2" t="n">
        <v>4</v>
      </c>
      <c r="E48" s="2" t="n">
        <v>7</v>
      </c>
      <c r="F48" t="inlineStr">
        <is>
          <t>estimate; לא אומת</t>
        </is>
      </c>
    </row>
    <row r="49">
      <c r="A49" t="inlineStr">
        <is>
          <t>eCPM מתוגמלת - ארה"ב/בריטניה</t>
        </is>
      </c>
      <c r="B49" t="inlineStr">
        <is>
          <t>$</t>
        </is>
      </c>
      <c r="C49" s="2" t="n">
        <v>10</v>
      </c>
      <c r="D49" s="2" t="n">
        <v>16</v>
      </c>
      <c r="E49" s="2" t="n">
        <v>25</v>
      </c>
      <c r="F49" t="inlineStr">
        <is>
          <t>estimate; לא אומת</t>
        </is>
      </c>
    </row>
    <row r="50">
      <c r="A50" t="inlineStr">
        <is>
          <t>eCPM ביניים - ארה"ב/בריטניה</t>
        </is>
      </c>
      <c r="B50" t="inlineStr">
        <is>
          <t>$</t>
        </is>
      </c>
      <c r="C50" s="2" t="n">
        <v>5</v>
      </c>
      <c r="D50" s="2" t="n">
        <v>8</v>
      </c>
      <c r="E50" s="2" t="n">
        <v>13</v>
      </c>
      <c r="F50" t="inlineStr">
        <is>
          <t>estimate; לא אומת</t>
        </is>
      </c>
    </row>
    <row r="51">
      <c r="A51" s="3" t="inlineStr">
        <is>
          <t>המרה לרכישות (חד-פעמיות; מחושב על התקנות)</t>
        </is>
      </c>
    </row>
    <row r="52">
      <c r="A52" t="inlineStr">
        <is>
          <t>אחוז מההתקנות שרוכשים</t>
        </is>
      </c>
      <c r="B52" t="inlineStr">
        <is>
          <t>%</t>
        </is>
      </c>
      <c r="C52" s="4" t="n">
        <v>0.005</v>
      </c>
      <c r="D52" s="4" t="n">
        <v>0.015</v>
      </c>
      <c r="E52" s="4" t="n">
        <v>0.03</v>
      </c>
      <c r="F52" t="inlineStr">
        <is>
          <t>unit-economics skill (estimate)</t>
        </is>
      </c>
    </row>
    <row r="53">
      <c r="A53" s="3" t="inlineStr">
        <is>
          <t>B2B - בתי ספר וארגונים (מחיר: pricing.md)</t>
        </is>
      </c>
    </row>
    <row r="54">
      <c r="A54" t="inlineStr">
        <is>
          <t>חודש התחלת מכירות B2B</t>
        </is>
      </c>
      <c r="B54" t="inlineStr">
        <is>
          <t>חודש</t>
        </is>
      </c>
      <c r="C54" s="2" t="n">
        <v>8</v>
      </c>
      <c r="D54" s="2" t="n">
        <v>6</v>
      </c>
      <c r="E54" s="2" t="n">
        <v>5</v>
      </c>
      <c r="F54" t="inlineStr">
        <is>
          <t>estimate; שנת לימודים מתחילה ב-1.9</t>
        </is>
      </c>
    </row>
    <row r="55">
      <c r="A55" t="inlineStr">
        <is>
          <t>בתי ספר חדשים בחודש</t>
        </is>
      </c>
      <c r="B55" t="inlineStr">
        <is>
          <t>יח'</t>
        </is>
      </c>
      <c r="C55" s="2" t="n">
        <v>0.1</v>
      </c>
      <c r="D55" s="2" t="n">
        <v>0.5</v>
      </c>
      <c r="E55" s="2" t="n">
        <v>2</v>
      </c>
      <c r="F55" t="inlineStr">
        <is>
          <t>estimate</t>
        </is>
      </c>
    </row>
    <row r="56">
      <c r="A56" t="inlineStr">
        <is>
          <t>רישיונות כיתה חדשים בחודש</t>
        </is>
      </c>
      <c r="B56" t="inlineStr">
        <is>
          <t>יח'</t>
        </is>
      </c>
      <c r="C56" s="2" t="n">
        <v>0.5</v>
      </c>
      <c r="D56" s="2" t="n">
        <v>1</v>
      </c>
      <c r="E56" s="2" t="n">
        <v>4</v>
      </c>
      <c r="F56" t="inlineStr">
        <is>
          <t>estimate</t>
        </is>
      </c>
    </row>
    <row r="57">
      <c r="A57" t="inlineStr">
        <is>
          <t>תנועות/עמותות חדשות בחודש</t>
        </is>
      </c>
      <c r="B57" t="inlineStr">
        <is>
          <t>יח'</t>
        </is>
      </c>
      <c r="C57" s="2" t="n">
        <v>0</v>
      </c>
      <c r="D57" s="2" t="n">
        <v>0.1</v>
      </c>
      <c r="E57" s="2" t="n">
        <v>0.3</v>
      </c>
      <c r="F57" t="inlineStr">
        <is>
          <t>estimate</t>
        </is>
      </c>
    </row>
    <row r="58">
      <c r="A58" t="inlineStr">
        <is>
          <t>שיעור חידוש שנתי</t>
        </is>
      </c>
      <c r="B58" t="inlineStr">
        <is>
          <t>%</t>
        </is>
      </c>
      <c r="C58" s="4" t="n">
        <v>0.4</v>
      </c>
      <c r="D58" s="4" t="n">
        <v>0.6</v>
      </c>
      <c r="E58" s="4" t="n">
        <v>0.75</v>
      </c>
      <c r="F58" t="inlineStr">
        <is>
          <t>estimate</t>
        </is>
      </c>
    </row>
    <row r="59">
      <c r="A59" s="3" t="inlineStr">
        <is>
          <t>עלויות (גם ב-Costs)</t>
        </is>
      </c>
    </row>
    <row r="60">
      <c r="A60" t="inlineStr">
        <is>
          <t>חשבון Google Play (חד-פעמי)</t>
        </is>
      </c>
      <c r="B60" t="inlineStr">
        <is>
          <t>$</t>
        </is>
      </c>
      <c r="C60" s="2" t="n">
        <v>25</v>
      </c>
      <c r="D60" s="2" t="n">
        <v>25</v>
      </c>
      <c r="E60" s="2" t="n">
        <v>25</v>
      </c>
      <c r="F60" t="inlineStr">
        <is>
          <t>finance.md / מחיר רשמי</t>
        </is>
      </c>
    </row>
    <row r="61">
      <c r="A61" t="inlineStr">
        <is>
          <t>חשבון Apple (שנתי)</t>
        </is>
      </c>
      <c r="B61" t="inlineStr">
        <is>
          <t>$</t>
        </is>
      </c>
      <c r="C61" s="2" t="n">
        <v>99</v>
      </c>
      <c r="D61" s="2" t="n">
        <v>99</v>
      </c>
      <c r="E61" s="2" t="n">
        <v>99</v>
      </c>
      <c r="F61" t="inlineStr">
        <is>
          <t>finance.md / מחיר רשמי</t>
        </is>
      </c>
    </row>
    <row r="62">
      <c r="A62" t="inlineStr">
        <is>
          <t>דומיין (שנתי)</t>
        </is>
      </c>
      <c r="B62" t="inlineStr">
        <is>
          <t>₪</t>
        </is>
      </c>
      <c r="C62" s="2" t="n">
        <v>60</v>
      </c>
      <c r="D62" s="2" t="n">
        <v>60</v>
      </c>
      <c r="E62" s="2" t="n">
        <v>60</v>
      </c>
      <c r="F62" t="inlineStr">
        <is>
          <t>estimate</t>
        </is>
      </c>
    </row>
    <row r="63">
      <c r="A63" t="inlineStr">
        <is>
          <t>גישת בנייה ל-iOS (Mac בענן / CI) לחודש</t>
        </is>
      </c>
      <c r="B63" t="inlineStr">
        <is>
          <t>₪</t>
        </is>
      </c>
      <c r="C63" s="2" t="n">
        <v>100</v>
      </c>
      <c r="D63" s="2" t="n">
        <v>50</v>
      </c>
      <c r="E63" s="2" t="n">
        <v>50</v>
      </c>
      <c r="F63" t="inlineStr">
        <is>
          <t>estimate</t>
        </is>
      </c>
    </row>
    <row r="64">
      <c r="A64" t="inlineStr">
        <is>
          <t>נכסי עיצוב בתשלום (אופציונלי, חד-פעמי)</t>
        </is>
      </c>
      <c r="B64" t="inlineStr">
        <is>
          <t>₪</t>
        </is>
      </c>
      <c r="C64" s="2" t="n">
        <v>1500</v>
      </c>
      <c r="D64" s="2" t="n">
        <v>1500</v>
      </c>
      <c r="E64" s="2" t="n">
        <v>1500</v>
      </c>
      <c r="F64" t="inlineStr">
        <is>
          <t>estimate</t>
        </is>
      </c>
    </row>
    <row r="65">
      <c r="A65" t="inlineStr">
        <is>
          <t>לכלול נכסי עיצוב? (1/0)</t>
        </is>
      </c>
      <c r="B65" t="inlineStr">
        <is>
          <t>מתג</t>
        </is>
      </c>
      <c r="C65" s="2" t="n">
        <v>1</v>
      </c>
      <c r="D65" s="2" t="n">
        <v>1</v>
      </c>
      <c r="E65" s="2" t="n">
        <v>1</v>
      </c>
      <c r="F65" t="inlineStr">
        <is>
          <t>קלט</t>
        </is>
      </c>
    </row>
    <row r="66">
      <c r="A66" t="inlineStr">
        <is>
          <t>הנהלת חשבונות (עוסק פטור) לחודש</t>
        </is>
      </c>
      <c r="B66" t="inlineStr">
        <is>
          <t>₪</t>
        </is>
      </c>
      <c r="C66" s="2" t="n">
        <v>100</v>
      </c>
      <c r="D66" s="2" t="n">
        <v>100</v>
      </c>
      <c r="E66" s="2" t="n">
        <v>100</v>
      </c>
      <c r="F66" t="inlineStr">
        <is>
          <t>estimate</t>
        </is>
      </c>
    </row>
    <row r="67">
      <c r="A67" t="inlineStr">
        <is>
          <t>חומרי B2B: מערך שיעור/דף עבודה/חוזה (חד-פעמי)</t>
        </is>
      </c>
      <c r="B67" t="inlineStr">
        <is>
          <t>₪</t>
        </is>
      </c>
      <c r="C67" s="2" t="n">
        <v>400</v>
      </c>
      <c r="D67" s="2" t="n">
        <v>400</v>
      </c>
      <c r="E67" s="2" t="n">
        <v>400</v>
      </c>
      <c r="F67" t="inlineStr">
        <is>
          <t>estimate</t>
        </is>
      </c>
    </row>
    <row r="68">
      <c r="A68" t="inlineStr">
        <is>
          <t>תרגום ובדיקה לאנגלית (חד-פעמי, חודש לפני השקה)</t>
        </is>
      </c>
      <c r="B68" t="inlineStr">
        <is>
          <t>₪</t>
        </is>
      </c>
      <c r="C68" s="2" t="n">
        <v>2500</v>
      </c>
      <c r="D68" s="2" t="n">
        <v>2500</v>
      </c>
      <c r="E68" s="2" t="n">
        <v>2500</v>
      </c>
      <c r="F68" t="inlineStr">
        <is>
          <t>estimate</t>
        </is>
      </c>
    </row>
    <row r="69">
      <c r="A69" t="inlineStr">
        <is>
          <t>שעות פיתוח התחלתיות (ממו - לא במזומן)</t>
        </is>
      </c>
      <c r="B69" t="inlineStr">
        <is>
          <t>שעות</t>
        </is>
      </c>
      <c r="C69" s="2" t="n">
        <v>300</v>
      </c>
      <c r="D69" s="2" t="n">
        <v>300</v>
      </c>
      <c r="E69" s="2" t="n">
        <v>300</v>
      </c>
      <c r="F69" t="inlineStr">
        <is>
          <t>estimate</t>
        </is>
      </c>
    </row>
    <row r="70">
      <c r="A70" t="inlineStr">
        <is>
          <t>שעות תחזוקה בחודש (ממו)</t>
        </is>
      </c>
      <c r="B70" t="inlineStr">
        <is>
          <t>שעות</t>
        </is>
      </c>
      <c r="C70" s="2" t="n">
        <v>20</v>
      </c>
      <c r="D70" s="2" t="n">
        <v>20</v>
      </c>
      <c r="E70" s="2" t="n">
        <v>20</v>
      </c>
      <c r="F70" t="inlineStr">
        <is>
          <t>estimate</t>
        </is>
      </c>
    </row>
    <row r="71">
      <c r="A71" t="inlineStr">
        <is>
          <t>ערך שעת פיתוח (ממו)</t>
        </is>
      </c>
      <c r="B71" t="inlineStr">
        <is>
          <t>₪</t>
        </is>
      </c>
      <c r="C71" s="2" t="n">
        <v>120</v>
      </c>
      <c r="D71" s="2" t="n">
        <v>120</v>
      </c>
      <c r="E71" s="2" t="n">
        <v>120</v>
      </c>
      <c r="F71" t="inlineStr">
        <is>
          <t>estimate; עלות אלטרנטיבית</t>
        </is>
      </c>
    </row>
    <row r="73">
      <c r="A73" t="inlineStr">
        <is>
          <t>בדיקת מיקס (חייב 100%)</t>
        </is>
      </c>
      <c r="C73" s="5">
        <f>SUM(D24:D26)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rightToLeft="1"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עלויות חודשיות (₪) - מזומן. נוסחאות בלבד; ערכים מ-Assumptions (עמודת בסיס, עלויות זהות בין תרחישים). פרסום בתשלום - בגיליונות Calc.</t>
        </is>
      </c>
    </row>
    <row r="3">
      <c r="A3" s="1" t="inlineStr">
        <is>
          <t>חודש</t>
        </is>
      </c>
      <c r="B3" t="inlineStr">
        <is>
          <t>סה"כ 24 חודשים</t>
        </is>
      </c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  <c r="H3" s="3" t="n">
        <v>6</v>
      </c>
      <c r="I3" s="3" t="n">
        <v>7</v>
      </c>
      <c r="J3" s="3" t="n">
        <v>8</v>
      </c>
      <c r="K3" s="3" t="n">
        <v>9</v>
      </c>
      <c r="L3" s="3" t="n">
        <v>10</v>
      </c>
      <c r="M3" s="3" t="n">
        <v>11</v>
      </c>
      <c r="N3" s="3" t="n">
        <v>12</v>
      </c>
      <c r="O3" s="3" t="n">
        <v>13</v>
      </c>
      <c r="P3" s="3" t="n">
        <v>14</v>
      </c>
      <c r="Q3" s="3" t="n">
        <v>15</v>
      </c>
      <c r="R3" s="3" t="n">
        <v>16</v>
      </c>
      <c r="S3" s="3" t="n">
        <v>17</v>
      </c>
      <c r="T3" s="3" t="n">
        <v>18</v>
      </c>
      <c r="U3" s="3" t="n">
        <v>19</v>
      </c>
      <c r="V3" s="3" t="n">
        <v>20</v>
      </c>
      <c r="W3" s="3" t="n">
        <v>21</v>
      </c>
      <c r="X3" s="3" t="n">
        <v>22</v>
      </c>
      <c r="Y3" s="3" t="n">
        <v>23</v>
      </c>
      <c r="Z3" s="3" t="n">
        <v>24</v>
      </c>
    </row>
    <row r="4">
      <c r="A4" t="inlineStr">
        <is>
          <t>Google Play - חד-פעמי</t>
        </is>
      </c>
      <c r="B4">
        <f>SUM(C4:Z4)</f>
        <v/>
      </c>
      <c r="C4">
        <f>IF(C$3=1,Assumptions!$D$60*Assumptions!$D$22,0)</f>
        <v/>
      </c>
      <c r="D4">
        <f>IF(D$3=1,Assumptions!$D$60*Assumptions!$D$22,0)</f>
        <v/>
      </c>
      <c r="E4">
        <f>IF(E$3=1,Assumptions!$D$60*Assumptions!$D$22,0)</f>
        <v/>
      </c>
      <c r="F4">
        <f>IF(F$3=1,Assumptions!$D$60*Assumptions!$D$22,0)</f>
        <v/>
      </c>
      <c r="G4">
        <f>IF(G$3=1,Assumptions!$D$60*Assumptions!$D$22,0)</f>
        <v/>
      </c>
      <c r="H4">
        <f>IF(H$3=1,Assumptions!$D$60*Assumptions!$D$22,0)</f>
        <v/>
      </c>
      <c r="I4">
        <f>IF(I$3=1,Assumptions!$D$60*Assumptions!$D$22,0)</f>
        <v/>
      </c>
      <c r="J4">
        <f>IF(J$3=1,Assumptions!$D$60*Assumptions!$D$22,0)</f>
        <v/>
      </c>
      <c r="K4">
        <f>IF(K$3=1,Assumptions!$D$60*Assumptions!$D$22,0)</f>
        <v/>
      </c>
      <c r="L4">
        <f>IF(L$3=1,Assumptions!$D$60*Assumptions!$D$22,0)</f>
        <v/>
      </c>
      <c r="M4">
        <f>IF(M$3=1,Assumptions!$D$60*Assumptions!$D$22,0)</f>
        <v/>
      </c>
      <c r="N4">
        <f>IF(N$3=1,Assumptions!$D$60*Assumptions!$D$22,0)</f>
        <v/>
      </c>
      <c r="O4">
        <f>IF(O$3=1,Assumptions!$D$60*Assumptions!$D$22,0)</f>
        <v/>
      </c>
      <c r="P4">
        <f>IF(P$3=1,Assumptions!$D$60*Assumptions!$D$22,0)</f>
        <v/>
      </c>
      <c r="Q4">
        <f>IF(Q$3=1,Assumptions!$D$60*Assumptions!$D$22,0)</f>
        <v/>
      </c>
      <c r="R4">
        <f>IF(R$3=1,Assumptions!$D$60*Assumptions!$D$22,0)</f>
        <v/>
      </c>
      <c r="S4">
        <f>IF(S$3=1,Assumptions!$D$60*Assumptions!$D$22,0)</f>
        <v/>
      </c>
      <c r="T4">
        <f>IF(T$3=1,Assumptions!$D$60*Assumptions!$D$22,0)</f>
        <v/>
      </c>
      <c r="U4">
        <f>IF(U$3=1,Assumptions!$D$60*Assumptions!$D$22,0)</f>
        <v/>
      </c>
      <c r="V4">
        <f>IF(V$3=1,Assumptions!$D$60*Assumptions!$D$22,0)</f>
        <v/>
      </c>
      <c r="W4">
        <f>IF(W$3=1,Assumptions!$D$60*Assumptions!$D$22,0)</f>
        <v/>
      </c>
      <c r="X4">
        <f>IF(X$3=1,Assumptions!$D$60*Assumptions!$D$22,0)</f>
        <v/>
      </c>
      <c r="Y4">
        <f>IF(Y$3=1,Assumptions!$D$60*Assumptions!$D$22,0)</f>
        <v/>
      </c>
      <c r="Z4">
        <f>IF(Z$3=1,Assumptions!$D$60*Assumptions!$D$22,0)</f>
        <v/>
      </c>
    </row>
    <row r="5">
      <c r="A5" t="inlineStr">
        <is>
          <t>Apple Developer - שנתי</t>
        </is>
      </c>
      <c r="B5">
        <f>SUM(C5:Z5)</f>
        <v/>
      </c>
      <c r="C5">
        <f>IF(MOD(C$3-1,12)=0,Assumptions!$D$61*Assumptions!$D$22,0)</f>
        <v/>
      </c>
      <c r="D5">
        <f>IF(MOD(D$3-1,12)=0,Assumptions!$D$61*Assumptions!$D$22,0)</f>
        <v/>
      </c>
      <c r="E5">
        <f>IF(MOD(E$3-1,12)=0,Assumptions!$D$61*Assumptions!$D$22,0)</f>
        <v/>
      </c>
      <c r="F5">
        <f>IF(MOD(F$3-1,12)=0,Assumptions!$D$61*Assumptions!$D$22,0)</f>
        <v/>
      </c>
      <c r="G5">
        <f>IF(MOD(G$3-1,12)=0,Assumptions!$D$61*Assumptions!$D$22,0)</f>
        <v/>
      </c>
      <c r="H5">
        <f>IF(MOD(H$3-1,12)=0,Assumptions!$D$61*Assumptions!$D$22,0)</f>
        <v/>
      </c>
      <c r="I5">
        <f>IF(MOD(I$3-1,12)=0,Assumptions!$D$61*Assumptions!$D$22,0)</f>
        <v/>
      </c>
      <c r="J5">
        <f>IF(MOD(J$3-1,12)=0,Assumptions!$D$61*Assumptions!$D$22,0)</f>
        <v/>
      </c>
      <c r="K5">
        <f>IF(MOD(K$3-1,12)=0,Assumptions!$D$61*Assumptions!$D$22,0)</f>
        <v/>
      </c>
      <c r="L5">
        <f>IF(MOD(L$3-1,12)=0,Assumptions!$D$61*Assumptions!$D$22,0)</f>
        <v/>
      </c>
      <c r="M5">
        <f>IF(MOD(M$3-1,12)=0,Assumptions!$D$61*Assumptions!$D$22,0)</f>
        <v/>
      </c>
      <c r="N5">
        <f>IF(MOD(N$3-1,12)=0,Assumptions!$D$61*Assumptions!$D$22,0)</f>
        <v/>
      </c>
      <c r="O5">
        <f>IF(MOD(O$3-1,12)=0,Assumptions!$D$61*Assumptions!$D$22,0)</f>
        <v/>
      </c>
      <c r="P5">
        <f>IF(MOD(P$3-1,12)=0,Assumptions!$D$61*Assumptions!$D$22,0)</f>
        <v/>
      </c>
      <c r="Q5">
        <f>IF(MOD(Q$3-1,12)=0,Assumptions!$D$61*Assumptions!$D$22,0)</f>
        <v/>
      </c>
      <c r="R5">
        <f>IF(MOD(R$3-1,12)=0,Assumptions!$D$61*Assumptions!$D$22,0)</f>
        <v/>
      </c>
      <c r="S5">
        <f>IF(MOD(S$3-1,12)=0,Assumptions!$D$61*Assumptions!$D$22,0)</f>
        <v/>
      </c>
      <c r="T5">
        <f>IF(MOD(T$3-1,12)=0,Assumptions!$D$61*Assumptions!$D$22,0)</f>
        <v/>
      </c>
      <c r="U5">
        <f>IF(MOD(U$3-1,12)=0,Assumptions!$D$61*Assumptions!$D$22,0)</f>
        <v/>
      </c>
      <c r="V5">
        <f>IF(MOD(V$3-1,12)=0,Assumptions!$D$61*Assumptions!$D$22,0)</f>
        <v/>
      </c>
      <c r="W5">
        <f>IF(MOD(W$3-1,12)=0,Assumptions!$D$61*Assumptions!$D$22,0)</f>
        <v/>
      </c>
      <c r="X5">
        <f>IF(MOD(X$3-1,12)=0,Assumptions!$D$61*Assumptions!$D$22,0)</f>
        <v/>
      </c>
      <c r="Y5">
        <f>IF(MOD(Y$3-1,12)=0,Assumptions!$D$61*Assumptions!$D$22,0)</f>
        <v/>
      </c>
      <c r="Z5">
        <f>IF(MOD(Z$3-1,12)=0,Assumptions!$D$61*Assumptions!$D$22,0)</f>
        <v/>
      </c>
    </row>
    <row r="6">
      <c r="A6" t="inlineStr">
        <is>
          <t>דומיין - שנתי</t>
        </is>
      </c>
      <c r="B6">
        <f>SUM(C6:Z6)</f>
        <v/>
      </c>
      <c r="C6">
        <f>IF(MOD(C$3-1,12)=0,Assumptions!$D$62,0)</f>
        <v/>
      </c>
      <c r="D6">
        <f>IF(MOD(D$3-1,12)=0,Assumptions!$D$62,0)</f>
        <v/>
      </c>
      <c r="E6">
        <f>IF(MOD(E$3-1,12)=0,Assumptions!$D$62,0)</f>
        <v/>
      </c>
      <c r="F6">
        <f>IF(MOD(F$3-1,12)=0,Assumptions!$D$62,0)</f>
        <v/>
      </c>
      <c r="G6">
        <f>IF(MOD(G$3-1,12)=0,Assumptions!$D$62,0)</f>
        <v/>
      </c>
      <c r="H6">
        <f>IF(MOD(H$3-1,12)=0,Assumptions!$D$62,0)</f>
        <v/>
      </c>
      <c r="I6">
        <f>IF(MOD(I$3-1,12)=0,Assumptions!$D$62,0)</f>
        <v/>
      </c>
      <c r="J6">
        <f>IF(MOD(J$3-1,12)=0,Assumptions!$D$62,0)</f>
        <v/>
      </c>
      <c r="K6">
        <f>IF(MOD(K$3-1,12)=0,Assumptions!$D$62,0)</f>
        <v/>
      </c>
      <c r="L6">
        <f>IF(MOD(L$3-1,12)=0,Assumptions!$D$62,0)</f>
        <v/>
      </c>
      <c r="M6">
        <f>IF(MOD(M$3-1,12)=0,Assumptions!$D$62,0)</f>
        <v/>
      </c>
      <c r="N6">
        <f>IF(MOD(N$3-1,12)=0,Assumptions!$D$62,0)</f>
        <v/>
      </c>
      <c r="O6">
        <f>IF(MOD(O$3-1,12)=0,Assumptions!$D$62,0)</f>
        <v/>
      </c>
      <c r="P6">
        <f>IF(MOD(P$3-1,12)=0,Assumptions!$D$62,0)</f>
        <v/>
      </c>
      <c r="Q6">
        <f>IF(MOD(Q$3-1,12)=0,Assumptions!$D$62,0)</f>
        <v/>
      </c>
      <c r="R6">
        <f>IF(MOD(R$3-1,12)=0,Assumptions!$D$62,0)</f>
        <v/>
      </c>
      <c r="S6">
        <f>IF(MOD(S$3-1,12)=0,Assumptions!$D$62,0)</f>
        <v/>
      </c>
      <c r="T6">
        <f>IF(MOD(T$3-1,12)=0,Assumptions!$D$62,0)</f>
        <v/>
      </c>
      <c r="U6">
        <f>IF(MOD(U$3-1,12)=0,Assumptions!$D$62,0)</f>
        <v/>
      </c>
      <c r="V6">
        <f>IF(MOD(V$3-1,12)=0,Assumptions!$D$62,0)</f>
        <v/>
      </c>
      <c r="W6">
        <f>IF(MOD(W$3-1,12)=0,Assumptions!$D$62,0)</f>
        <v/>
      </c>
      <c r="X6">
        <f>IF(MOD(X$3-1,12)=0,Assumptions!$D$62,0)</f>
        <v/>
      </c>
      <c r="Y6">
        <f>IF(MOD(Y$3-1,12)=0,Assumptions!$D$62,0)</f>
        <v/>
      </c>
      <c r="Z6">
        <f>IF(MOD(Z$3-1,12)=0,Assumptions!$D$62,0)</f>
        <v/>
      </c>
    </row>
    <row r="7">
      <c r="A7" t="inlineStr">
        <is>
          <t>גישת בנייה ל-iOS</t>
        </is>
      </c>
      <c r="B7">
        <f>SUM(C7:Z7)</f>
        <v/>
      </c>
      <c r="C7">
        <f>Assumptions!$D$63</f>
        <v/>
      </c>
      <c r="D7">
        <f>Assumptions!$D$63</f>
        <v/>
      </c>
      <c r="E7">
        <f>Assumptions!$D$63</f>
        <v/>
      </c>
      <c r="F7">
        <f>Assumptions!$D$63</f>
        <v/>
      </c>
      <c r="G7">
        <f>Assumptions!$D$63</f>
        <v/>
      </c>
      <c r="H7">
        <f>Assumptions!$D$63</f>
        <v/>
      </c>
      <c r="I7">
        <f>Assumptions!$D$63</f>
        <v/>
      </c>
      <c r="J7">
        <f>Assumptions!$D$63</f>
        <v/>
      </c>
      <c r="K7">
        <f>Assumptions!$D$63</f>
        <v/>
      </c>
      <c r="L7">
        <f>Assumptions!$D$63</f>
        <v/>
      </c>
      <c r="M7">
        <f>Assumptions!$D$63</f>
        <v/>
      </c>
      <c r="N7">
        <f>Assumptions!$D$63</f>
        <v/>
      </c>
      <c r="O7">
        <f>Assumptions!$D$63</f>
        <v/>
      </c>
      <c r="P7">
        <f>Assumptions!$D$63</f>
        <v/>
      </c>
      <c r="Q7">
        <f>Assumptions!$D$63</f>
        <v/>
      </c>
      <c r="R7">
        <f>Assumptions!$D$63</f>
        <v/>
      </c>
      <c r="S7">
        <f>Assumptions!$D$63</f>
        <v/>
      </c>
      <c r="T7">
        <f>Assumptions!$D$63</f>
        <v/>
      </c>
      <c r="U7">
        <f>Assumptions!$D$63</f>
        <v/>
      </c>
      <c r="V7">
        <f>Assumptions!$D$63</f>
        <v/>
      </c>
      <c r="W7">
        <f>Assumptions!$D$63</f>
        <v/>
      </c>
      <c r="X7">
        <f>Assumptions!$D$63</f>
        <v/>
      </c>
      <c r="Y7">
        <f>Assumptions!$D$63</f>
        <v/>
      </c>
      <c r="Z7">
        <f>Assumptions!$D$63</f>
        <v/>
      </c>
    </row>
    <row r="8">
      <c r="A8" t="inlineStr">
        <is>
          <t>נכסי עיצוב (אופציונלי)</t>
        </is>
      </c>
      <c r="B8">
        <f>SUM(C8:Z8)</f>
        <v/>
      </c>
      <c r="C8">
        <f>IF(C$3=1,Assumptions!$D$64*Assumptions!$D$65,0)</f>
        <v/>
      </c>
      <c r="D8">
        <f>IF(D$3=1,Assumptions!$D$64*Assumptions!$D$65,0)</f>
        <v/>
      </c>
      <c r="E8">
        <f>IF(E$3=1,Assumptions!$D$64*Assumptions!$D$65,0)</f>
        <v/>
      </c>
      <c r="F8">
        <f>IF(F$3=1,Assumptions!$D$64*Assumptions!$D$65,0)</f>
        <v/>
      </c>
      <c r="G8">
        <f>IF(G$3=1,Assumptions!$D$64*Assumptions!$D$65,0)</f>
        <v/>
      </c>
      <c r="H8">
        <f>IF(H$3=1,Assumptions!$D$64*Assumptions!$D$65,0)</f>
        <v/>
      </c>
      <c r="I8">
        <f>IF(I$3=1,Assumptions!$D$64*Assumptions!$D$65,0)</f>
        <v/>
      </c>
      <c r="J8">
        <f>IF(J$3=1,Assumptions!$D$64*Assumptions!$D$65,0)</f>
        <v/>
      </c>
      <c r="K8">
        <f>IF(K$3=1,Assumptions!$D$64*Assumptions!$D$65,0)</f>
        <v/>
      </c>
      <c r="L8">
        <f>IF(L$3=1,Assumptions!$D$64*Assumptions!$D$65,0)</f>
        <v/>
      </c>
      <c r="M8">
        <f>IF(M$3=1,Assumptions!$D$64*Assumptions!$D$65,0)</f>
        <v/>
      </c>
      <c r="N8">
        <f>IF(N$3=1,Assumptions!$D$64*Assumptions!$D$65,0)</f>
        <v/>
      </c>
      <c r="O8">
        <f>IF(O$3=1,Assumptions!$D$64*Assumptions!$D$65,0)</f>
        <v/>
      </c>
      <c r="P8">
        <f>IF(P$3=1,Assumptions!$D$64*Assumptions!$D$65,0)</f>
        <v/>
      </c>
      <c r="Q8">
        <f>IF(Q$3=1,Assumptions!$D$64*Assumptions!$D$65,0)</f>
        <v/>
      </c>
      <c r="R8">
        <f>IF(R$3=1,Assumptions!$D$64*Assumptions!$D$65,0)</f>
        <v/>
      </c>
      <c r="S8">
        <f>IF(S$3=1,Assumptions!$D$64*Assumptions!$D$65,0)</f>
        <v/>
      </c>
      <c r="T8">
        <f>IF(T$3=1,Assumptions!$D$64*Assumptions!$D$65,0)</f>
        <v/>
      </c>
      <c r="U8">
        <f>IF(U$3=1,Assumptions!$D$64*Assumptions!$D$65,0)</f>
        <v/>
      </c>
      <c r="V8">
        <f>IF(V$3=1,Assumptions!$D$64*Assumptions!$D$65,0)</f>
        <v/>
      </c>
      <c r="W8">
        <f>IF(W$3=1,Assumptions!$D$64*Assumptions!$D$65,0)</f>
        <v/>
      </c>
      <c r="X8">
        <f>IF(X$3=1,Assumptions!$D$64*Assumptions!$D$65,0)</f>
        <v/>
      </c>
      <c r="Y8">
        <f>IF(Y$3=1,Assumptions!$D$64*Assumptions!$D$65,0)</f>
        <v/>
      </c>
      <c r="Z8">
        <f>IF(Z$3=1,Assumptions!$D$64*Assumptions!$D$65,0)</f>
        <v/>
      </c>
    </row>
    <row r="9">
      <c r="A9" t="inlineStr">
        <is>
          <t>הנהלת חשבונות</t>
        </is>
      </c>
      <c r="B9">
        <f>SUM(C9:Z9)</f>
        <v/>
      </c>
      <c r="C9">
        <f>Assumptions!$D$66</f>
        <v/>
      </c>
      <c r="D9">
        <f>Assumptions!$D$66</f>
        <v/>
      </c>
      <c r="E9">
        <f>Assumptions!$D$66</f>
        <v/>
      </c>
      <c r="F9">
        <f>Assumptions!$D$66</f>
        <v/>
      </c>
      <c r="G9">
        <f>Assumptions!$D$66</f>
        <v/>
      </c>
      <c r="H9">
        <f>Assumptions!$D$66</f>
        <v/>
      </c>
      <c r="I9">
        <f>Assumptions!$D$66</f>
        <v/>
      </c>
      <c r="J9">
        <f>Assumptions!$D$66</f>
        <v/>
      </c>
      <c r="K9">
        <f>Assumptions!$D$66</f>
        <v/>
      </c>
      <c r="L9">
        <f>Assumptions!$D$66</f>
        <v/>
      </c>
      <c r="M9">
        <f>Assumptions!$D$66</f>
        <v/>
      </c>
      <c r="N9">
        <f>Assumptions!$D$66</f>
        <v/>
      </c>
      <c r="O9">
        <f>Assumptions!$D$66</f>
        <v/>
      </c>
      <c r="P9">
        <f>Assumptions!$D$66</f>
        <v/>
      </c>
      <c r="Q9">
        <f>Assumptions!$D$66</f>
        <v/>
      </c>
      <c r="R9">
        <f>Assumptions!$D$66</f>
        <v/>
      </c>
      <c r="S9">
        <f>Assumptions!$D$66</f>
        <v/>
      </c>
      <c r="T9">
        <f>Assumptions!$D$66</f>
        <v/>
      </c>
      <c r="U9">
        <f>Assumptions!$D$66</f>
        <v/>
      </c>
      <c r="V9">
        <f>Assumptions!$D$66</f>
        <v/>
      </c>
      <c r="W9">
        <f>Assumptions!$D$66</f>
        <v/>
      </c>
      <c r="X9">
        <f>Assumptions!$D$66</f>
        <v/>
      </c>
      <c r="Y9">
        <f>Assumptions!$D$66</f>
        <v/>
      </c>
      <c r="Z9">
        <f>Assumptions!$D$66</f>
        <v/>
      </c>
    </row>
    <row r="10">
      <c r="A10" t="inlineStr">
        <is>
          <t>חומרי B2B</t>
        </is>
      </c>
      <c r="B10">
        <f>SUM(C10:Z10)</f>
        <v/>
      </c>
      <c r="C10">
        <f>IF(C$3=1,Assumptions!$D$67,0)</f>
        <v/>
      </c>
      <c r="D10">
        <f>IF(D$3=1,Assumptions!$D$67,0)</f>
        <v/>
      </c>
      <c r="E10">
        <f>IF(E$3=1,Assumptions!$D$67,0)</f>
        <v/>
      </c>
      <c r="F10">
        <f>IF(F$3=1,Assumptions!$D$67,0)</f>
        <v/>
      </c>
      <c r="G10">
        <f>IF(G$3=1,Assumptions!$D$67,0)</f>
        <v/>
      </c>
      <c r="H10">
        <f>IF(H$3=1,Assumptions!$D$67,0)</f>
        <v/>
      </c>
      <c r="I10">
        <f>IF(I$3=1,Assumptions!$D$67,0)</f>
        <v/>
      </c>
      <c r="J10">
        <f>IF(J$3=1,Assumptions!$D$67,0)</f>
        <v/>
      </c>
      <c r="K10">
        <f>IF(K$3=1,Assumptions!$D$67,0)</f>
        <v/>
      </c>
      <c r="L10">
        <f>IF(L$3=1,Assumptions!$D$67,0)</f>
        <v/>
      </c>
      <c r="M10">
        <f>IF(M$3=1,Assumptions!$D$67,0)</f>
        <v/>
      </c>
      <c r="N10">
        <f>IF(N$3=1,Assumptions!$D$67,0)</f>
        <v/>
      </c>
      <c r="O10">
        <f>IF(O$3=1,Assumptions!$D$67,0)</f>
        <v/>
      </c>
      <c r="P10">
        <f>IF(P$3=1,Assumptions!$D$67,0)</f>
        <v/>
      </c>
      <c r="Q10">
        <f>IF(Q$3=1,Assumptions!$D$67,0)</f>
        <v/>
      </c>
      <c r="R10">
        <f>IF(R$3=1,Assumptions!$D$67,0)</f>
        <v/>
      </c>
      <c r="S10">
        <f>IF(S$3=1,Assumptions!$D$67,0)</f>
        <v/>
      </c>
      <c r="T10">
        <f>IF(T$3=1,Assumptions!$D$67,0)</f>
        <v/>
      </c>
      <c r="U10">
        <f>IF(U$3=1,Assumptions!$D$67,0)</f>
        <v/>
      </c>
      <c r="V10">
        <f>IF(V$3=1,Assumptions!$D$67,0)</f>
        <v/>
      </c>
      <c r="W10">
        <f>IF(W$3=1,Assumptions!$D$67,0)</f>
        <v/>
      </c>
      <c r="X10">
        <f>IF(X$3=1,Assumptions!$D$67,0)</f>
        <v/>
      </c>
      <c r="Y10">
        <f>IF(Y$3=1,Assumptions!$D$67,0)</f>
        <v/>
      </c>
      <c r="Z10">
        <f>IF(Z$3=1,Assumptions!$D$67,0)</f>
        <v/>
      </c>
    </row>
    <row r="11">
      <c r="A11" s="1" t="inlineStr">
        <is>
          <t>סה"כ עלויות קבועות (ללא פרסום בתשלום)</t>
        </is>
      </c>
      <c r="B11">
        <f>SUM(C11:Z11)</f>
        <v/>
      </c>
      <c r="C11">
        <f>SUM(C4:C10)</f>
        <v/>
      </c>
      <c r="D11">
        <f>SUM(D4:D10)</f>
        <v/>
      </c>
      <c r="E11">
        <f>SUM(E4:E10)</f>
        <v/>
      </c>
      <c r="F11">
        <f>SUM(F4:F10)</f>
        <v/>
      </c>
      <c r="G11">
        <f>SUM(G4:G10)</f>
        <v/>
      </c>
      <c r="H11">
        <f>SUM(H4:H10)</f>
        <v/>
      </c>
      <c r="I11">
        <f>SUM(I4:I10)</f>
        <v/>
      </c>
      <c r="J11">
        <f>SUM(J4:J10)</f>
        <v/>
      </c>
      <c r="K11">
        <f>SUM(K4:K10)</f>
        <v/>
      </c>
      <c r="L11">
        <f>SUM(L4:L10)</f>
        <v/>
      </c>
      <c r="M11">
        <f>SUM(M4:M10)</f>
        <v/>
      </c>
      <c r="N11">
        <f>SUM(N4:N10)</f>
        <v/>
      </c>
      <c r="O11">
        <f>SUM(O4:O10)</f>
        <v/>
      </c>
      <c r="P11">
        <f>SUM(P4:P10)</f>
        <v/>
      </c>
      <c r="Q11">
        <f>SUM(Q4:Q10)</f>
        <v/>
      </c>
      <c r="R11">
        <f>SUM(R4:R10)</f>
        <v/>
      </c>
      <c r="S11">
        <f>SUM(S4:S10)</f>
        <v/>
      </c>
      <c r="T11">
        <f>SUM(T4:T10)</f>
        <v/>
      </c>
      <c r="U11">
        <f>SUM(U4:U10)</f>
        <v/>
      </c>
      <c r="V11">
        <f>SUM(V4:V10)</f>
        <v/>
      </c>
      <c r="W11">
        <f>SUM(W4:W10)</f>
        <v/>
      </c>
      <c r="X11">
        <f>SUM(X4:X10)</f>
        <v/>
      </c>
      <c r="Y11">
        <f>SUM(Y4:Y10)</f>
        <v/>
      </c>
      <c r="Z11">
        <f>SUM(Z4:Z10)</f>
        <v/>
      </c>
    </row>
    <row r="12">
      <c r="A12" t="inlineStr">
        <is>
          <t>תרגום לאנגלית (רק במתג עברית+אנגלית)</t>
        </is>
      </c>
      <c r="B12">
        <f>SUM(C12:Z12)</f>
        <v/>
      </c>
      <c r="C12">
        <f>IF(C$3=Assumptions!$D$31-1,Assumptions!$D$68,0)</f>
        <v/>
      </c>
      <c r="D12">
        <f>IF(D$3=Assumptions!$D$31-1,Assumptions!$D$68,0)</f>
        <v/>
      </c>
      <c r="E12">
        <f>IF(E$3=Assumptions!$D$31-1,Assumptions!$D$68,0)</f>
        <v/>
      </c>
      <c r="F12">
        <f>IF(F$3=Assumptions!$D$31-1,Assumptions!$D$68,0)</f>
        <v/>
      </c>
      <c r="G12">
        <f>IF(G$3=Assumptions!$D$31-1,Assumptions!$D$68,0)</f>
        <v/>
      </c>
      <c r="H12">
        <f>IF(H$3=Assumptions!$D$31-1,Assumptions!$D$68,0)</f>
        <v/>
      </c>
      <c r="I12">
        <f>IF(I$3=Assumptions!$D$31-1,Assumptions!$D$68,0)</f>
        <v/>
      </c>
      <c r="J12">
        <f>IF(J$3=Assumptions!$D$31-1,Assumptions!$D$68,0)</f>
        <v/>
      </c>
      <c r="K12">
        <f>IF(K$3=Assumptions!$D$31-1,Assumptions!$D$68,0)</f>
        <v/>
      </c>
      <c r="L12">
        <f>IF(L$3=Assumptions!$D$31-1,Assumptions!$D$68,0)</f>
        <v/>
      </c>
      <c r="M12">
        <f>IF(M$3=Assumptions!$D$31-1,Assumptions!$D$68,0)</f>
        <v/>
      </c>
      <c r="N12">
        <f>IF(N$3=Assumptions!$D$31-1,Assumptions!$D$68,0)</f>
        <v/>
      </c>
      <c r="O12">
        <f>IF(O$3=Assumptions!$D$31-1,Assumptions!$D$68,0)</f>
        <v/>
      </c>
      <c r="P12">
        <f>IF(P$3=Assumptions!$D$31-1,Assumptions!$D$68,0)</f>
        <v/>
      </c>
      <c r="Q12">
        <f>IF(Q$3=Assumptions!$D$31-1,Assumptions!$D$68,0)</f>
        <v/>
      </c>
      <c r="R12">
        <f>IF(R$3=Assumptions!$D$31-1,Assumptions!$D$68,0)</f>
        <v/>
      </c>
      <c r="S12">
        <f>IF(S$3=Assumptions!$D$31-1,Assumptions!$D$68,0)</f>
        <v/>
      </c>
      <c r="T12">
        <f>IF(T$3=Assumptions!$D$31-1,Assumptions!$D$68,0)</f>
        <v/>
      </c>
      <c r="U12">
        <f>IF(U$3=Assumptions!$D$31-1,Assumptions!$D$68,0)</f>
        <v/>
      </c>
      <c r="V12">
        <f>IF(V$3=Assumptions!$D$31-1,Assumptions!$D$68,0)</f>
        <v/>
      </c>
      <c r="W12">
        <f>IF(W$3=Assumptions!$D$31-1,Assumptions!$D$68,0)</f>
        <v/>
      </c>
      <c r="X12">
        <f>IF(X$3=Assumptions!$D$31-1,Assumptions!$D$68,0)</f>
        <v/>
      </c>
      <c r="Y12">
        <f>IF(Y$3=Assumptions!$D$31-1,Assumptions!$D$68,0)</f>
        <v/>
      </c>
      <c r="Z12">
        <f>IF(Z$3=Assumptions!$D$31-1,Assumptions!$D$68,0)</f>
        <v/>
      </c>
    </row>
    <row r="14">
      <c r="A14" t="inlineStr">
        <is>
          <t>ממו: שעות פיתוח</t>
        </is>
      </c>
      <c r="B14">
        <f>SUM(C14:Z14)</f>
        <v/>
      </c>
      <c r="C14">
        <f>IF(C$3=1,Assumptions!$D$69,0)+Assumptions!$D$70</f>
        <v/>
      </c>
      <c r="D14">
        <f>IF(D$3=1,Assumptions!$D$69,0)+Assumptions!$D$70</f>
        <v/>
      </c>
      <c r="E14">
        <f>IF(E$3=1,Assumptions!$D$69,0)+Assumptions!$D$70</f>
        <v/>
      </c>
      <c r="F14">
        <f>IF(F$3=1,Assumptions!$D$69,0)+Assumptions!$D$70</f>
        <v/>
      </c>
      <c r="G14">
        <f>IF(G$3=1,Assumptions!$D$69,0)+Assumptions!$D$70</f>
        <v/>
      </c>
      <c r="H14">
        <f>IF(H$3=1,Assumptions!$D$69,0)+Assumptions!$D$70</f>
        <v/>
      </c>
      <c r="I14">
        <f>IF(I$3=1,Assumptions!$D$69,0)+Assumptions!$D$70</f>
        <v/>
      </c>
      <c r="J14">
        <f>IF(J$3=1,Assumptions!$D$69,0)+Assumptions!$D$70</f>
        <v/>
      </c>
      <c r="K14">
        <f>IF(K$3=1,Assumptions!$D$69,0)+Assumptions!$D$70</f>
        <v/>
      </c>
      <c r="L14">
        <f>IF(L$3=1,Assumptions!$D$69,0)+Assumptions!$D$70</f>
        <v/>
      </c>
      <c r="M14">
        <f>IF(M$3=1,Assumptions!$D$69,0)+Assumptions!$D$70</f>
        <v/>
      </c>
      <c r="N14">
        <f>IF(N$3=1,Assumptions!$D$69,0)+Assumptions!$D$70</f>
        <v/>
      </c>
      <c r="O14">
        <f>IF(O$3=1,Assumptions!$D$69,0)+Assumptions!$D$70</f>
        <v/>
      </c>
      <c r="P14">
        <f>IF(P$3=1,Assumptions!$D$69,0)+Assumptions!$D$70</f>
        <v/>
      </c>
      <c r="Q14">
        <f>IF(Q$3=1,Assumptions!$D$69,0)+Assumptions!$D$70</f>
        <v/>
      </c>
      <c r="R14">
        <f>IF(R$3=1,Assumptions!$D$69,0)+Assumptions!$D$70</f>
        <v/>
      </c>
      <c r="S14">
        <f>IF(S$3=1,Assumptions!$D$69,0)+Assumptions!$D$70</f>
        <v/>
      </c>
      <c r="T14">
        <f>IF(T$3=1,Assumptions!$D$69,0)+Assumptions!$D$70</f>
        <v/>
      </c>
      <c r="U14">
        <f>IF(U$3=1,Assumptions!$D$69,0)+Assumptions!$D$70</f>
        <v/>
      </c>
      <c r="V14">
        <f>IF(V$3=1,Assumptions!$D$69,0)+Assumptions!$D$70</f>
        <v/>
      </c>
      <c r="W14">
        <f>IF(W$3=1,Assumptions!$D$69,0)+Assumptions!$D$70</f>
        <v/>
      </c>
      <c r="X14">
        <f>IF(X$3=1,Assumptions!$D$69,0)+Assumptions!$D$70</f>
        <v/>
      </c>
      <c r="Y14">
        <f>IF(Y$3=1,Assumptions!$D$69,0)+Assumptions!$D$70</f>
        <v/>
      </c>
      <c r="Z14">
        <f>IF(Z$3=1,Assumptions!$D$69,0)+Assumptions!$D$70</f>
        <v/>
      </c>
    </row>
    <row r="15">
      <c r="A15" t="inlineStr">
        <is>
          <t>ממו: ערך זמן פיתוח (₪)</t>
        </is>
      </c>
      <c r="B15">
        <f>SUM(C15:Z15)</f>
        <v/>
      </c>
      <c r="C15">
        <f>C14*Assumptions!$D$71</f>
        <v/>
      </c>
      <c r="D15">
        <f>D14*Assumptions!$D$71</f>
        <v/>
      </c>
      <c r="E15">
        <f>E14*Assumptions!$D$71</f>
        <v/>
      </c>
      <c r="F15">
        <f>F14*Assumptions!$D$71</f>
        <v/>
      </c>
      <c r="G15">
        <f>G14*Assumptions!$D$71</f>
        <v/>
      </c>
      <c r="H15">
        <f>H14*Assumptions!$D$71</f>
        <v/>
      </c>
      <c r="I15">
        <f>I14*Assumptions!$D$71</f>
        <v/>
      </c>
      <c r="J15">
        <f>J14*Assumptions!$D$71</f>
        <v/>
      </c>
      <c r="K15">
        <f>K14*Assumptions!$D$71</f>
        <v/>
      </c>
      <c r="L15">
        <f>L14*Assumptions!$D$71</f>
        <v/>
      </c>
      <c r="M15">
        <f>M14*Assumptions!$D$71</f>
        <v/>
      </c>
      <c r="N15">
        <f>N14*Assumptions!$D$71</f>
        <v/>
      </c>
      <c r="O15">
        <f>O14*Assumptions!$D$71</f>
        <v/>
      </c>
      <c r="P15">
        <f>P14*Assumptions!$D$71</f>
        <v/>
      </c>
      <c r="Q15">
        <f>Q14*Assumptions!$D$71</f>
        <v/>
      </c>
      <c r="R15">
        <f>R14*Assumptions!$D$71</f>
        <v/>
      </c>
      <c r="S15">
        <f>S14*Assumptions!$D$71</f>
        <v/>
      </c>
      <c r="T15">
        <f>T14*Assumptions!$D$71</f>
        <v/>
      </c>
      <c r="U15">
        <f>U14*Assumptions!$D$71</f>
        <v/>
      </c>
      <c r="V15">
        <f>V14*Assumptions!$D$71</f>
        <v/>
      </c>
      <c r="W15">
        <f>W14*Assumptions!$D$71</f>
        <v/>
      </c>
      <c r="X15">
        <f>X14*Assumptions!$D$71</f>
        <v/>
      </c>
      <c r="Y15">
        <f>Y14*Assumptions!$D$71</f>
        <v/>
      </c>
      <c r="Z15">
        <f>Z14*Assumptions!$D$71</f>
        <v/>
      </c>
    </row>
    <row r="17">
      <c r="A17" s="1" t="inlineStr">
        <is>
          <t>עלות השקה (12 חודשים ראשונים, מזומן, ללא פרסום בתשלום וללא אנגלית)</t>
        </is>
      </c>
      <c r="B17">
        <f>SUM(C11:N11)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rightToLeft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הכנסות - תרחיש פעיל (לפי המתגים ב-Assumptions)</t>
        </is>
      </c>
    </row>
    <row r="2">
      <c r="A2">
        <f>"תרחיש: "&amp;Assumptions!C5&amp;" | שפה: "&amp;IF(Assumptions!C4=2,"עברית+אנגלית","עברית בלבד")</f>
        <v/>
      </c>
    </row>
    <row r="3">
      <c r="A3" s="1" t="inlineStr">
        <is>
          <t>חודש</t>
        </is>
      </c>
      <c r="B3" t="inlineStr">
        <is>
          <t>סה"כ</t>
        </is>
      </c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  <c r="H3" s="3" t="n">
        <v>6</v>
      </c>
      <c r="I3" s="3" t="n">
        <v>7</v>
      </c>
      <c r="J3" s="3" t="n">
        <v>8</v>
      </c>
      <c r="K3" s="3" t="n">
        <v>9</v>
      </c>
      <c r="L3" s="3" t="n">
        <v>10</v>
      </c>
      <c r="M3" s="3" t="n">
        <v>11</v>
      </c>
      <c r="N3" s="3" t="n">
        <v>12</v>
      </c>
      <c r="O3" s="3" t="n">
        <v>13</v>
      </c>
      <c r="P3" s="3" t="n">
        <v>14</v>
      </c>
      <c r="Q3" s="3" t="n">
        <v>15</v>
      </c>
      <c r="R3" s="3" t="n">
        <v>16</v>
      </c>
      <c r="S3" s="3" t="n">
        <v>17</v>
      </c>
      <c r="T3" s="3" t="n">
        <v>18</v>
      </c>
      <c r="U3" s="3" t="n">
        <v>19</v>
      </c>
      <c r="V3" s="3" t="n">
        <v>20</v>
      </c>
      <c r="W3" s="3" t="n">
        <v>21</v>
      </c>
      <c r="X3" s="3" t="n">
        <v>22</v>
      </c>
      <c r="Y3" s="3" t="n">
        <v>23</v>
      </c>
      <c r="Z3" s="3" t="n">
        <v>24</v>
      </c>
    </row>
    <row r="4">
      <c r="A4" t="inlineStr">
        <is>
          <t>התקנות - עברית</t>
        </is>
      </c>
      <c r="B4" s="6">
        <f>SUM(C4:Z4)</f>
        <v/>
      </c>
      <c r="C4" s="6">
        <f>CHOOSE(Assumptions!$C$3,Calc_Pess!C8,Calc_Base!C8,Calc_Opt!C8)</f>
        <v/>
      </c>
      <c r="D4" s="6">
        <f>CHOOSE(Assumptions!$C$3,Calc_Pess!D8,Calc_Base!D8,Calc_Opt!D8)</f>
        <v/>
      </c>
      <c r="E4" s="6">
        <f>CHOOSE(Assumptions!$C$3,Calc_Pess!E8,Calc_Base!E8,Calc_Opt!E8)</f>
        <v/>
      </c>
      <c r="F4" s="6">
        <f>CHOOSE(Assumptions!$C$3,Calc_Pess!F8,Calc_Base!F8,Calc_Opt!F8)</f>
        <v/>
      </c>
      <c r="G4" s="6">
        <f>CHOOSE(Assumptions!$C$3,Calc_Pess!G8,Calc_Base!G8,Calc_Opt!G8)</f>
        <v/>
      </c>
      <c r="H4" s="6">
        <f>CHOOSE(Assumptions!$C$3,Calc_Pess!H8,Calc_Base!H8,Calc_Opt!H8)</f>
        <v/>
      </c>
      <c r="I4" s="6">
        <f>CHOOSE(Assumptions!$C$3,Calc_Pess!I8,Calc_Base!I8,Calc_Opt!I8)</f>
        <v/>
      </c>
      <c r="J4" s="6">
        <f>CHOOSE(Assumptions!$C$3,Calc_Pess!J8,Calc_Base!J8,Calc_Opt!J8)</f>
        <v/>
      </c>
      <c r="K4" s="6">
        <f>CHOOSE(Assumptions!$C$3,Calc_Pess!K8,Calc_Base!K8,Calc_Opt!K8)</f>
        <v/>
      </c>
      <c r="L4" s="6">
        <f>CHOOSE(Assumptions!$C$3,Calc_Pess!L8,Calc_Base!L8,Calc_Opt!L8)</f>
        <v/>
      </c>
      <c r="M4" s="6">
        <f>CHOOSE(Assumptions!$C$3,Calc_Pess!M8,Calc_Base!M8,Calc_Opt!M8)</f>
        <v/>
      </c>
      <c r="N4" s="6">
        <f>CHOOSE(Assumptions!$C$3,Calc_Pess!N8,Calc_Base!N8,Calc_Opt!N8)</f>
        <v/>
      </c>
      <c r="O4" s="6">
        <f>CHOOSE(Assumptions!$C$3,Calc_Pess!O8,Calc_Base!O8,Calc_Opt!O8)</f>
        <v/>
      </c>
      <c r="P4" s="6">
        <f>CHOOSE(Assumptions!$C$3,Calc_Pess!P8,Calc_Base!P8,Calc_Opt!P8)</f>
        <v/>
      </c>
      <c r="Q4" s="6">
        <f>CHOOSE(Assumptions!$C$3,Calc_Pess!Q8,Calc_Base!Q8,Calc_Opt!Q8)</f>
        <v/>
      </c>
      <c r="R4" s="6">
        <f>CHOOSE(Assumptions!$C$3,Calc_Pess!R8,Calc_Base!R8,Calc_Opt!R8)</f>
        <v/>
      </c>
      <c r="S4" s="6">
        <f>CHOOSE(Assumptions!$C$3,Calc_Pess!S8,Calc_Base!S8,Calc_Opt!S8)</f>
        <v/>
      </c>
      <c r="T4" s="6">
        <f>CHOOSE(Assumptions!$C$3,Calc_Pess!T8,Calc_Base!T8,Calc_Opt!T8)</f>
        <v/>
      </c>
      <c r="U4" s="6">
        <f>CHOOSE(Assumptions!$C$3,Calc_Pess!U8,Calc_Base!U8,Calc_Opt!U8)</f>
        <v/>
      </c>
      <c r="V4" s="6">
        <f>CHOOSE(Assumptions!$C$3,Calc_Pess!V8,Calc_Base!V8,Calc_Opt!V8)</f>
        <v/>
      </c>
      <c r="W4" s="6">
        <f>CHOOSE(Assumptions!$C$3,Calc_Pess!W8,Calc_Base!W8,Calc_Opt!W8)</f>
        <v/>
      </c>
      <c r="X4" s="6">
        <f>CHOOSE(Assumptions!$C$3,Calc_Pess!X8,Calc_Base!X8,Calc_Opt!X8)</f>
        <v/>
      </c>
      <c r="Y4" s="6">
        <f>CHOOSE(Assumptions!$C$3,Calc_Pess!Y8,Calc_Base!Y8,Calc_Opt!Y8)</f>
        <v/>
      </c>
      <c r="Z4" s="6">
        <f>CHOOSE(Assumptions!$C$3,Calc_Pess!Z8,Calc_Base!Z8,Calc_Opt!Z8)</f>
        <v/>
      </c>
    </row>
    <row r="5">
      <c r="A5" t="inlineStr">
        <is>
          <t>התקנות - אנגלית</t>
        </is>
      </c>
      <c r="B5" s="6">
        <f>SUM(C5:Z5)</f>
        <v/>
      </c>
      <c r="C5" s="6">
        <f>IF(Assumptions!$C$4=2,CHOOSE(Assumptions!$C$3,Calc_Pess!C28,Calc_Base!C28,Calc_Opt!C28),0)</f>
        <v/>
      </c>
      <c r="D5" s="6">
        <f>IF(Assumptions!$C$4=2,CHOOSE(Assumptions!$C$3,Calc_Pess!D28,Calc_Base!D28,Calc_Opt!D28),0)</f>
        <v/>
      </c>
      <c r="E5" s="6">
        <f>IF(Assumptions!$C$4=2,CHOOSE(Assumptions!$C$3,Calc_Pess!E28,Calc_Base!E28,Calc_Opt!E28),0)</f>
        <v/>
      </c>
      <c r="F5" s="6">
        <f>IF(Assumptions!$C$4=2,CHOOSE(Assumptions!$C$3,Calc_Pess!F28,Calc_Base!F28,Calc_Opt!F28),0)</f>
        <v/>
      </c>
      <c r="G5" s="6">
        <f>IF(Assumptions!$C$4=2,CHOOSE(Assumptions!$C$3,Calc_Pess!G28,Calc_Base!G28,Calc_Opt!G28),0)</f>
        <v/>
      </c>
      <c r="H5" s="6">
        <f>IF(Assumptions!$C$4=2,CHOOSE(Assumptions!$C$3,Calc_Pess!H28,Calc_Base!H28,Calc_Opt!H28),0)</f>
        <v/>
      </c>
      <c r="I5" s="6">
        <f>IF(Assumptions!$C$4=2,CHOOSE(Assumptions!$C$3,Calc_Pess!I28,Calc_Base!I28,Calc_Opt!I28),0)</f>
        <v/>
      </c>
      <c r="J5" s="6">
        <f>IF(Assumptions!$C$4=2,CHOOSE(Assumptions!$C$3,Calc_Pess!J28,Calc_Base!J28,Calc_Opt!J28),0)</f>
        <v/>
      </c>
      <c r="K5" s="6">
        <f>IF(Assumptions!$C$4=2,CHOOSE(Assumptions!$C$3,Calc_Pess!K28,Calc_Base!K28,Calc_Opt!K28),0)</f>
        <v/>
      </c>
      <c r="L5" s="6">
        <f>IF(Assumptions!$C$4=2,CHOOSE(Assumptions!$C$3,Calc_Pess!L28,Calc_Base!L28,Calc_Opt!L28),0)</f>
        <v/>
      </c>
      <c r="M5" s="6">
        <f>IF(Assumptions!$C$4=2,CHOOSE(Assumptions!$C$3,Calc_Pess!M28,Calc_Base!M28,Calc_Opt!M28),0)</f>
        <v/>
      </c>
      <c r="N5" s="6">
        <f>IF(Assumptions!$C$4=2,CHOOSE(Assumptions!$C$3,Calc_Pess!N28,Calc_Base!N28,Calc_Opt!N28),0)</f>
        <v/>
      </c>
      <c r="O5" s="6">
        <f>IF(Assumptions!$C$4=2,CHOOSE(Assumptions!$C$3,Calc_Pess!O28,Calc_Base!O28,Calc_Opt!O28),0)</f>
        <v/>
      </c>
      <c r="P5" s="6">
        <f>IF(Assumptions!$C$4=2,CHOOSE(Assumptions!$C$3,Calc_Pess!P28,Calc_Base!P28,Calc_Opt!P28),0)</f>
        <v/>
      </c>
      <c r="Q5" s="6">
        <f>IF(Assumptions!$C$4=2,CHOOSE(Assumptions!$C$3,Calc_Pess!Q28,Calc_Base!Q28,Calc_Opt!Q28),0)</f>
        <v/>
      </c>
      <c r="R5" s="6">
        <f>IF(Assumptions!$C$4=2,CHOOSE(Assumptions!$C$3,Calc_Pess!R28,Calc_Base!R28,Calc_Opt!R28),0)</f>
        <v/>
      </c>
      <c r="S5" s="6">
        <f>IF(Assumptions!$C$4=2,CHOOSE(Assumptions!$C$3,Calc_Pess!S28,Calc_Base!S28,Calc_Opt!S28),0)</f>
        <v/>
      </c>
      <c r="T5" s="6">
        <f>IF(Assumptions!$C$4=2,CHOOSE(Assumptions!$C$3,Calc_Pess!T28,Calc_Base!T28,Calc_Opt!T28),0)</f>
        <v/>
      </c>
      <c r="U5" s="6">
        <f>IF(Assumptions!$C$4=2,CHOOSE(Assumptions!$C$3,Calc_Pess!U28,Calc_Base!U28,Calc_Opt!U28),0)</f>
        <v/>
      </c>
      <c r="V5" s="6">
        <f>IF(Assumptions!$C$4=2,CHOOSE(Assumptions!$C$3,Calc_Pess!V28,Calc_Base!V28,Calc_Opt!V28),0)</f>
        <v/>
      </c>
      <c r="W5" s="6">
        <f>IF(Assumptions!$C$4=2,CHOOSE(Assumptions!$C$3,Calc_Pess!W28,Calc_Base!W28,Calc_Opt!W28),0)</f>
        <v/>
      </c>
      <c r="X5" s="6">
        <f>IF(Assumptions!$C$4=2,CHOOSE(Assumptions!$C$3,Calc_Pess!X28,Calc_Base!X28,Calc_Opt!X28),0)</f>
        <v/>
      </c>
      <c r="Y5" s="6">
        <f>IF(Assumptions!$C$4=2,CHOOSE(Assumptions!$C$3,Calc_Pess!Y28,Calc_Base!Y28,Calc_Opt!Y28),0)</f>
        <v/>
      </c>
      <c r="Z5" s="6">
        <f>IF(Assumptions!$C$4=2,CHOOSE(Assumptions!$C$3,Calc_Pess!Z28,Calc_Base!Z28,Calc_Opt!Z28),0)</f>
        <v/>
      </c>
    </row>
    <row r="6">
      <c r="A6" t="inlineStr">
        <is>
          <t>DAU - עברית</t>
        </is>
      </c>
      <c r="B6" s="6">
        <f>SUM(C6:Z6)</f>
        <v/>
      </c>
      <c r="C6" s="6">
        <f>CHOOSE(Assumptions!$C$3,Calc_Pess!C10,Calc_Base!C10,Calc_Opt!C10)</f>
        <v/>
      </c>
      <c r="D6" s="6">
        <f>CHOOSE(Assumptions!$C$3,Calc_Pess!D10,Calc_Base!D10,Calc_Opt!D10)</f>
        <v/>
      </c>
      <c r="E6" s="6">
        <f>CHOOSE(Assumptions!$C$3,Calc_Pess!E10,Calc_Base!E10,Calc_Opt!E10)</f>
        <v/>
      </c>
      <c r="F6" s="6">
        <f>CHOOSE(Assumptions!$C$3,Calc_Pess!F10,Calc_Base!F10,Calc_Opt!F10)</f>
        <v/>
      </c>
      <c r="G6" s="6">
        <f>CHOOSE(Assumptions!$C$3,Calc_Pess!G10,Calc_Base!G10,Calc_Opt!G10)</f>
        <v/>
      </c>
      <c r="H6" s="6">
        <f>CHOOSE(Assumptions!$C$3,Calc_Pess!H10,Calc_Base!H10,Calc_Opt!H10)</f>
        <v/>
      </c>
      <c r="I6" s="6">
        <f>CHOOSE(Assumptions!$C$3,Calc_Pess!I10,Calc_Base!I10,Calc_Opt!I10)</f>
        <v/>
      </c>
      <c r="J6" s="6">
        <f>CHOOSE(Assumptions!$C$3,Calc_Pess!J10,Calc_Base!J10,Calc_Opt!J10)</f>
        <v/>
      </c>
      <c r="K6" s="6">
        <f>CHOOSE(Assumptions!$C$3,Calc_Pess!K10,Calc_Base!K10,Calc_Opt!K10)</f>
        <v/>
      </c>
      <c r="L6" s="6">
        <f>CHOOSE(Assumptions!$C$3,Calc_Pess!L10,Calc_Base!L10,Calc_Opt!L10)</f>
        <v/>
      </c>
      <c r="M6" s="6">
        <f>CHOOSE(Assumptions!$C$3,Calc_Pess!M10,Calc_Base!M10,Calc_Opt!M10)</f>
        <v/>
      </c>
      <c r="N6" s="6">
        <f>CHOOSE(Assumptions!$C$3,Calc_Pess!N10,Calc_Base!N10,Calc_Opt!N10)</f>
        <v/>
      </c>
      <c r="O6" s="6">
        <f>CHOOSE(Assumptions!$C$3,Calc_Pess!O10,Calc_Base!O10,Calc_Opt!O10)</f>
        <v/>
      </c>
      <c r="P6" s="6">
        <f>CHOOSE(Assumptions!$C$3,Calc_Pess!P10,Calc_Base!P10,Calc_Opt!P10)</f>
        <v/>
      </c>
      <c r="Q6" s="6">
        <f>CHOOSE(Assumptions!$C$3,Calc_Pess!Q10,Calc_Base!Q10,Calc_Opt!Q10)</f>
        <v/>
      </c>
      <c r="R6" s="6">
        <f>CHOOSE(Assumptions!$C$3,Calc_Pess!R10,Calc_Base!R10,Calc_Opt!R10)</f>
        <v/>
      </c>
      <c r="S6" s="6">
        <f>CHOOSE(Assumptions!$C$3,Calc_Pess!S10,Calc_Base!S10,Calc_Opt!S10)</f>
        <v/>
      </c>
      <c r="T6" s="6">
        <f>CHOOSE(Assumptions!$C$3,Calc_Pess!T10,Calc_Base!T10,Calc_Opt!T10)</f>
        <v/>
      </c>
      <c r="U6" s="6">
        <f>CHOOSE(Assumptions!$C$3,Calc_Pess!U10,Calc_Base!U10,Calc_Opt!U10)</f>
        <v/>
      </c>
      <c r="V6" s="6">
        <f>CHOOSE(Assumptions!$C$3,Calc_Pess!V10,Calc_Base!V10,Calc_Opt!V10)</f>
        <v/>
      </c>
      <c r="W6" s="6">
        <f>CHOOSE(Assumptions!$C$3,Calc_Pess!W10,Calc_Base!W10,Calc_Opt!W10)</f>
        <v/>
      </c>
      <c r="X6" s="6">
        <f>CHOOSE(Assumptions!$C$3,Calc_Pess!X10,Calc_Base!X10,Calc_Opt!X10)</f>
        <v/>
      </c>
      <c r="Y6" s="6">
        <f>CHOOSE(Assumptions!$C$3,Calc_Pess!Y10,Calc_Base!Y10,Calc_Opt!Y10)</f>
        <v/>
      </c>
      <c r="Z6" s="6">
        <f>CHOOSE(Assumptions!$C$3,Calc_Pess!Z10,Calc_Base!Z10,Calc_Opt!Z10)</f>
        <v/>
      </c>
    </row>
    <row r="7">
      <c r="A7" t="inlineStr">
        <is>
          <t>DAU - אנגלית</t>
        </is>
      </c>
      <c r="B7" s="6">
        <f>SUM(C7:Z7)</f>
        <v/>
      </c>
      <c r="C7" s="6">
        <f>IF(Assumptions!$C$4=2,CHOOSE(Assumptions!$C$3,Calc_Pess!C30,Calc_Base!C30,Calc_Opt!C30),0)</f>
        <v/>
      </c>
      <c r="D7" s="6">
        <f>IF(Assumptions!$C$4=2,CHOOSE(Assumptions!$C$3,Calc_Pess!D30,Calc_Base!D30,Calc_Opt!D30),0)</f>
        <v/>
      </c>
      <c r="E7" s="6">
        <f>IF(Assumptions!$C$4=2,CHOOSE(Assumptions!$C$3,Calc_Pess!E30,Calc_Base!E30,Calc_Opt!E30),0)</f>
        <v/>
      </c>
      <c r="F7" s="6">
        <f>IF(Assumptions!$C$4=2,CHOOSE(Assumptions!$C$3,Calc_Pess!F30,Calc_Base!F30,Calc_Opt!F30),0)</f>
        <v/>
      </c>
      <c r="G7" s="6">
        <f>IF(Assumptions!$C$4=2,CHOOSE(Assumptions!$C$3,Calc_Pess!G30,Calc_Base!G30,Calc_Opt!G30),0)</f>
        <v/>
      </c>
      <c r="H7" s="6">
        <f>IF(Assumptions!$C$4=2,CHOOSE(Assumptions!$C$3,Calc_Pess!H30,Calc_Base!H30,Calc_Opt!H30),0)</f>
        <v/>
      </c>
      <c r="I7" s="6">
        <f>IF(Assumptions!$C$4=2,CHOOSE(Assumptions!$C$3,Calc_Pess!I30,Calc_Base!I30,Calc_Opt!I30),0)</f>
        <v/>
      </c>
      <c r="J7" s="6">
        <f>IF(Assumptions!$C$4=2,CHOOSE(Assumptions!$C$3,Calc_Pess!J30,Calc_Base!J30,Calc_Opt!J30),0)</f>
        <v/>
      </c>
      <c r="K7" s="6">
        <f>IF(Assumptions!$C$4=2,CHOOSE(Assumptions!$C$3,Calc_Pess!K30,Calc_Base!K30,Calc_Opt!K30),0)</f>
        <v/>
      </c>
      <c r="L7" s="6">
        <f>IF(Assumptions!$C$4=2,CHOOSE(Assumptions!$C$3,Calc_Pess!L30,Calc_Base!L30,Calc_Opt!L30),0)</f>
        <v/>
      </c>
      <c r="M7" s="6">
        <f>IF(Assumptions!$C$4=2,CHOOSE(Assumptions!$C$3,Calc_Pess!M30,Calc_Base!M30,Calc_Opt!M30),0)</f>
        <v/>
      </c>
      <c r="N7" s="6">
        <f>IF(Assumptions!$C$4=2,CHOOSE(Assumptions!$C$3,Calc_Pess!N30,Calc_Base!N30,Calc_Opt!N30),0)</f>
        <v/>
      </c>
      <c r="O7" s="6">
        <f>IF(Assumptions!$C$4=2,CHOOSE(Assumptions!$C$3,Calc_Pess!O30,Calc_Base!O30,Calc_Opt!O30),0)</f>
        <v/>
      </c>
      <c r="P7" s="6">
        <f>IF(Assumptions!$C$4=2,CHOOSE(Assumptions!$C$3,Calc_Pess!P30,Calc_Base!P30,Calc_Opt!P30),0)</f>
        <v/>
      </c>
      <c r="Q7" s="6">
        <f>IF(Assumptions!$C$4=2,CHOOSE(Assumptions!$C$3,Calc_Pess!Q30,Calc_Base!Q30,Calc_Opt!Q30),0)</f>
        <v/>
      </c>
      <c r="R7" s="6">
        <f>IF(Assumptions!$C$4=2,CHOOSE(Assumptions!$C$3,Calc_Pess!R30,Calc_Base!R30,Calc_Opt!R30),0)</f>
        <v/>
      </c>
      <c r="S7" s="6">
        <f>IF(Assumptions!$C$4=2,CHOOSE(Assumptions!$C$3,Calc_Pess!S30,Calc_Base!S30,Calc_Opt!S30),0)</f>
        <v/>
      </c>
      <c r="T7" s="6">
        <f>IF(Assumptions!$C$4=2,CHOOSE(Assumptions!$C$3,Calc_Pess!T30,Calc_Base!T30,Calc_Opt!T30),0)</f>
        <v/>
      </c>
      <c r="U7" s="6">
        <f>IF(Assumptions!$C$4=2,CHOOSE(Assumptions!$C$3,Calc_Pess!U30,Calc_Base!U30,Calc_Opt!U30),0)</f>
        <v/>
      </c>
      <c r="V7" s="6">
        <f>IF(Assumptions!$C$4=2,CHOOSE(Assumptions!$C$3,Calc_Pess!V30,Calc_Base!V30,Calc_Opt!V30),0)</f>
        <v/>
      </c>
      <c r="W7" s="6">
        <f>IF(Assumptions!$C$4=2,CHOOSE(Assumptions!$C$3,Calc_Pess!W30,Calc_Base!W30,Calc_Opt!W30),0)</f>
        <v/>
      </c>
      <c r="X7" s="6">
        <f>IF(Assumptions!$C$4=2,CHOOSE(Assumptions!$C$3,Calc_Pess!X30,Calc_Base!X30,Calc_Opt!X30),0)</f>
        <v/>
      </c>
      <c r="Y7" s="6">
        <f>IF(Assumptions!$C$4=2,CHOOSE(Assumptions!$C$3,Calc_Pess!Y30,Calc_Base!Y30,Calc_Opt!Y30),0)</f>
        <v/>
      </c>
      <c r="Z7" s="6">
        <f>IF(Assumptions!$C$4=2,CHOOSE(Assumptions!$C$3,Calc_Pess!Z30,Calc_Base!Z30,Calc_Opt!Z30),0)</f>
        <v/>
      </c>
    </row>
    <row r="8">
      <c r="A8" t="inlineStr">
        <is>
          <t>פרסום (₪) - עברית</t>
        </is>
      </c>
      <c r="B8" s="6">
        <f>SUM(C8:Z8)</f>
        <v/>
      </c>
      <c r="C8" s="6">
        <f>CHOOSE(Assumptions!$C$3,Calc_Pess!C15,Calc_Base!C15,Calc_Opt!C15)</f>
        <v/>
      </c>
      <c r="D8" s="6">
        <f>CHOOSE(Assumptions!$C$3,Calc_Pess!D15,Calc_Base!D15,Calc_Opt!D15)</f>
        <v/>
      </c>
      <c r="E8" s="6">
        <f>CHOOSE(Assumptions!$C$3,Calc_Pess!E15,Calc_Base!E15,Calc_Opt!E15)</f>
        <v/>
      </c>
      <c r="F8" s="6">
        <f>CHOOSE(Assumptions!$C$3,Calc_Pess!F15,Calc_Base!F15,Calc_Opt!F15)</f>
        <v/>
      </c>
      <c r="G8" s="6">
        <f>CHOOSE(Assumptions!$C$3,Calc_Pess!G15,Calc_Base!G15,Calc_Opt!G15)</f>
        <v/>
      </c>
      <c r="H8" s="6">
        <f>CHOOSE(Assumptions!$C$3,Calc_Pess!H15,Calc_Base!H15,Calc_Opt!H15)</f>
        <v/>
      </c>
      <c r="I8" s="6">
        <f>CHOOSE(Assumptions!$C$3,Calc_Pess!I15,Calc_Base!I15,Calc_Opt!I15)</f>
        <v/>
      </c>
      <c r="J8" s="6">
        <f>CHOOSE(Assumptions!$C$3,Calc_Pess!J15,Calc_Base!J15,Calc_Opt!J15)</f>
        <v/>
      </c>
      <c r="K8" s="6">
        <f>CHOOSE(Assumptions!$C$3,Calc_Pess!K15,Calc_Base!K15,Calc_Opt!K15)</f>
        <v/>
      </c>
      <c r="L8" s="6">
        <f>CHOOSE(Assumptions!$C$3,Calc_Pess!L15,Calc_Base!L15,Calc_Opt!L15)</f>
        <v/>
      </c>
      <c r="M8" s="6">
        <f>CHOOSE(Assumptions!$C$3,Calc_Pess!M15,Calc_Base!M15,Calc_Opt!M15)</f>
        <v/>
      </c>
      <c r="N8" s="6">
        <f>CHOOSE(Assumptions!$C$3,Calc_Pess!N15,Calc_Base!N15,Calc_Opt!N15)</f>
        <v/>
      </c>
      <c r="O8" s="6">
        <f>CHOOSE(Assumptions!$C$3,Calc_Pess!O15,Calc_Base!O15,Calc_Opt!O15)</f>
        <v/>
      </c>
      <c r="P8" s="6">
        <f>CHOOSE(Assumptions!$C$3,Calc_Pess!P15,Calc_Base!P15,Calc_Opt!P15)</f>
        <v/>
      </c>
      <c r="Q8" s="6">
        <f>CHOOSE(Assumptions!$C$3,Calc_Pess!Q15,Calc_Base!Q15,Calc_Opt!Q15)</f>
        <v/>
      </c>
      <c r="R8" s="6">
        <f>CHOOSE(Assumptions!$C$3,Calc_Pess!R15,Calc_Base!R15,Calc_Opt!R15)</f>
        <v/>
      </c>
      <c r="S8" s="6">
        <f>CHOOSE(Assumptions!$C$3,Calc_Pess!S15,Calc_Base!S15,Calc_Opt!S15)</f>
        <v/>
      </c>
      <c r="T8" s="6">
        <f>CHOOSE(Assumptions!$C$3,Calc_Pess!T15,Calc_Base!T15,Calc_Opt!T15)</f>
        <v/>
      </c>
      <c r="U8" s="6">
        <f>CHOOSE(Assumptions!$C$3,Calc_Pess!U15,Calc_Base!U15,Calc_Opt!U15)</f>
        <v/>
      </c>
      <c r="V8" s="6">
        <f>CHOOSE(Assumptions!$C$3,Calc_Pess!V15,Calc_Base!V15,Calc_Opt!V15)</f>
        <v/>
      </c>
      <c r="W8" s="6">
        <f>CHOOSE(Assumptions!$C$3,Calc_Pess!W15,Calc_Base!W15,Calc_Opt!W15)</f>
        <v/>
      </c>
      <c r="X8" s="6">
        <f>CHOOSE(Assumptions!$C$3,Calc_Pess!X15,Calc_Base!X15,Calc_Opt!X15)</f>
        <v/>
      </c>
      <c r="Y8" s="6">
        <f>CHOOSE(Assumptions!$C$3,Calc_Pess!Y15,Calc_Base!Y15,Calc_Opt!Y15)</f>
        <v/>
      </c>
      <c r="Z8" s="6">
        <f>CHOOSE(Assumptions!$C$3,Calc_Pess!Z15,Calc_Base!Z15,Calc_Opt!Z15)</f>
        <v/>
      </c>
    </row>
    <row r="9">
      <c r="A9" t="inlineStr">
        <is>
          <t>פרסום (₪) - אנגלית</t>
        </is>
      </c>
      <c r="B9" s="6">
        <f>SUM(C9:Z9)</f>
        <v/>
      </c>
      <c r="C9" s="6">
        <f>IF(Assumptions!$C$4=2,CHOOSE(Assumptions!$C$3,Calc_Pess!C35,Calc_Base!C35,Calc_Opt!C35),0)</f>
        <v/>
      </c>
      <c r="D9" s="6">
        <f>IF(Assumptions!$C$4=2,CHOOSE(Assumptions!$C$3,Calc_Pess!D35,Calc_Base!D35,Calc_Opt!D35),0)</f>
        <v/>
      </c>
      <c r="E9" s="6">
        <f>IF(Assumptions!$C$4=2,CHOOSE(Assumptions!$C$3,Calc_Pess!E35,Calc_Base!E35,Calc_Opt!E35),0)</f>
        <v/>
      </c>
      <c r="F9" s="6">
        <f>IF(Assumptions!$C$4=2,CHOOSE(Assumptions!$C$3,Calc_Pess!F35,Calc_Base!F35,Calc_Opt!F35),0)</f>
        <v/>
      </c>
      <c r="G9" s="6">
        <f>IF(Assumptions!$C$4=2,CHOOSE(Assumptions!$C$3,Calc_Pess!G35,Calc_Base!G35,Calc_Opt!G35),0)</f>
        <v/>
      </c>
      <c r="H9" s="6">
        <f>IF(Assumptions!$C$4=2,CHOOSE(Assumptions!$C$3,Calc_Pess!H35,Calc_Base!H35,Calc_Opt!H35),0)</f>
        <v/>
      </c>
      <c r="I9" s="6">
        <f>IF(Assumptions!$C$4=2,CHOOSE(Assumptions!$C$3,Calc_Pess!I35,Calc_Base!I35,Calc_Opt!I35),0)</f>
        <v/>
      </c>
      <c r="J9" s="6">
        <f>IF(Assumptions!$C$4=2,CHOOSE(Assumptions!$C$3,Calc_Pess!J35,Calc_Base!J35,Calc_Opt!J35),0)</f>
        <v/>
      </c>
      <c r="K9" s="6">
        <f>IF(Assumptions!$C$4=2,CHOOSE(Assumptions!$C$3,Calc_Pess!K35,Calc_Base!K35,Calc_Opt!K35),0)</f>
        <v/>
      </c>
      <c r="L9" s="6">
        <f>IF(Assumptions!$C$4=2,CHOOSE(Assumptions!$C$3,Calc_Pess!L35,Calc_Base!L35,Calc_Opt!L35),0)</f>
        <v/>
      </c>
      <c r="M9" s="6">
        <f>IF(Assumptions!$C$4=2,CHOOSE(Assumptions!$C$3,Calc_Pess!M35,Calc_Base!M35,Calc_Opt!M35),0)</f>
        <v/>
      </c>
      <c r="N9" s="6">
        <f>IF(Assumptions!$C$4=2,CHOOSE(Assumptions!$C$3,Calc_Pess!N35,Calc_Base!N35,Calc_Opt!N35),0)</f>
        <v/>
      </c>
      <c r="O9" s="6">
        <f>IF(Assumptions!$C$4=2,CHOOSE(Assumptions!$C$3,Calc_Pess!O35,Calc_Base!O35,Calc_Opt!O35),0)</f>
        <v/>
      </c>
      <c r="P9" s="6">
        <f>IF(Assumptions!$C$4=2,CHOOSE(Assumptions!$C$3,Calc_Pess!P35,Calc_Base!P35,Calc_Opt!P35),0)</f>
        <v/>
      </c>
      <c r="Q9" s="6">
        <f>IF(Assumptions!$C$4=2,CHOOSE(Assumptions!$C$3,Calc_Pess!Q35,Calc_Base!Q35,Calc_Opt!Q35),0)</f>
        <v/>
      </c>
      <c r="R9" s="6">
        <f>IF(Assumptions!$C$4=2,CHOOSE(Assumptions!$C$3,Calc_Pess!R35,Calc_Base!R35,Calc_Opt!R35),0)</f>
        <v/>
      </c>
      <c r="S9" s="6">
        <f>IF(Assumptions!$C$4=2,CHOOSE(Assumptions!$C$3,Calc_Pess!S35,Calc_Base!S35,Calc_Opt!S35),0)</f>
        <v/>
      </c>
      <c r="T9" s="6">
        <f>IF(Assumptions!$C$4=2,CHOOSE(Assumptions!$C$3,Calc_Pess!T35,Calc_Base!T35,Calc_Opt!T35),0)</f>
        <v/>
      </c>
      <c r="U9" s="6">
        <f>IF(Assumptions!$C$4=2,CHOOSE(Assumptions!$C$3,Calc_Pess!U35,Calc_Base!U35,Calc_Opt!U35),0)</f>
        <v/>
      </c>
      <c r="V9" s="6">
        <f>IF(Assumptions!$C$4=2,CHOOSE(Assumptions!$C$3,Calc_Pess!V35,Calc_Base!V35,Calc_Opt!V35),0)</f>
        <v/>
      </c>
      <c r="W9" s="6">
        <f>IF(Assumptions!$C$4=2,CHOOSE(Assumptions!$C$3,Calc_Pess!W35,Calc_Base!W35,Calc_Opt!W35),0)</f>
        <v/>
      </c>
      <c r="X9" s="6">
        <f>IF(Assumptions!$C$4=2,CHOOSE(Assumptions!$C$3,Calc_Pess!X35,Calc_Base!X35,Calc_Opt!X35),0)</f>
        <v/>
      </c>
      <c r="Y9" s="6">
        <f>IF(Assumptions!$C$4=2,CHOOSE(Assumptions!$C$3,Calc_Pess!Y35,Calc_Base!Y35,Calc_Opt!Y35),0)</f>
        <v/>
      </c>
      <c r="Z9" s="6">
        <f>IF(Assumptions!$C$4=2,CHOOSE(Assumptions!$C$3,Calc_Pess!Z35,Calc_Base!Z35,Calc_Opt!Z35),0)</f>
        <v/>
      </c>
    </row>
    <row r="10">
      <c r="A10" t="inlineStr">
        <is>
          <t>IAP נטו (₪) - עברית</t>
        </is>
      </c>
      <c r="B10" s="6">
        <f>SUM(C10:Z10)</f>
        <v/>
      </c>
      <c r="C10" s="6">
        <f>CHOOSE(Assumptions!$C$3,Calc_Pess!C18,Calc_Base!C18,Calc_Opt!C18)</f>
        <v/>
      </c>
      <c r="D10" s="6">
        <f>CHOOSE(Assumptions!$C$3,Calc_Pess!D18,Calc_Base!D18,Calc_Opt!D18)</f>
        <v/>
      </c>
      <c r="E10" s="6">
        <f>CHOOSE(Assumptions!$C$3,Calc_Pess!E18,Calc_Base!E18,Calc_Opt!E18)</f>
        <v/>
      </c>
      <c r="F10" s="6">
        <f>CHOOSE(Assumptions!$C$3,Calc_Pess!F18,Calc_Base!F18,Calc_Opt!F18)</f>
        <v/>
      </c>
      <c r="G10" s="6">
        <f>CHOOSE(Assumptions!$C$3,Calc_Pess!G18,Calc_Base!G18,Calc_Opt!G18)</f>
        <v/>
      </c>
      <c r="H10" s="6">
        <f>CHOOSE(Assumptions!$C$3,Calc_Pess!H18,Calc_Base!H18,Calc_Opt!H18)</f>
        <v/>
      </c>
      <c r="I10" s="6">
        <f>CHOOSE(Assumptions!$C$3,Calc_Pess!I18,Calc_Base!I18,Calc_Opt!I18)</f>
        <v/>
      </c>
      <c r="J10" s="6">
        <f>CHOOSE(Assumptions!$C$3,Calc_Pess!J18,Calc_Base!J18,Calc_Opt!J18)</f>
        <v/>
      </c>
      <c r="K10" s="6">
        <f>CHOOSE(Assumptions!$C$3,Calc_Pess!K18,Calc_Base!K18,Calc_Opt!K18)</f>
        <v/>
      </c>
      <c r="L10" s="6">
        <f>CHOOSE(Assumptions!$C$3,Calc_Pess!L18,Calc_Base!L18,Calc_Opt!L18)</f>
        <v/>
      </c>
      <c r="M10" s="6">
        <f>CHOOSE(Assumptions!$C$3,Calc_Pess!M18,Calc_Base!M18,Calc_Opt!M18)</f>
        <v/>
      </c>
      <c r="N10" s="6">
        <f>CHOOSE(Assumptions!$C$3,Calc_Pess!N18,Calc_Base!N18,Calc_Opt!N18)</f>
        <v/>
      </c>
      <c r="O10" s="6">
        <f>CHOOSE(Assumptions!$C$3,Calc_Pess!O18,Calc_Base!O18,Calc_Opt!O18)</f>
        <v/>
      </c>
      <c r="P10" s="6">
        <f>CHOOSE(Assumptions!$C$3,Calc_Pess!P18,Calc_Base!P18,Calc_Opt!P18)</f>
        <v/>
      </c>
      <c r="Q10" s="6">
        <f>CHOOSE(Assumptions!$C$3,Calc_Pess!Q18,Calc_Base!Q18,Calc_Opt!Q18)</f>
        <v/>
      </c>
      <c r="R10" s="6">
        <f>CHOOSE(Assumptions!$C$3,Calc_Pess!R18,Calc_Base!R18,Calc_Opt!R18)</f>
        <v/>
      </c>
      <c r="S10" s="6">
        <f>CHOOSE(Assumptions!$C$3,Calc_Pess!S18,Calc_Base!S18,Calc_Opt!S18)</f>
        <v/>
      </c>
      <c r="T10" s="6">
        <f>CHOOSE(Assumptions!$C$3,Calc_Pess!T18,Calc_Base!T18,Calc_Opt!T18)</f>
        <v/>
      </c>
      <c r="U10" s="6">
        <f>CHOOSE(Assumptions!$C$3,Calc_Pess!U18,Calc_Base!U18,Calc_Opt!U18)</f>
        <v/>
      </c>
      <c r="V10" s="6">
        <f>CHOOSE(Assumptions!$C$3,Calc_Pess!V18,Calc_Base!V18,Calc_Opt!V18)</f>
        <v/>
      </c>
      <c r="W10" s="6">
        <f>CHOOSE(Assumptions!$C$3,Calc_Pess!W18,Calc_Base!W18,Calc_Opt!W18)</f>
        <v/>
      </c>
      <c r="X10" s="6">
        <f>CHOOSE(Assumptions!$C$3,Calc_Pess!X18,Calc_Base!X18,Calc_Opt!X18)</f>
        <v/>
      </c>
      <c r="Y10" s="6">
        <f>CHOOSE(Assumptions!$C$3,Calc_Pess!Y18,Calc_Base!Y18,Calc_Opt!Y18)</f>
        <v/>
      </c>
      <c r="Z10" s="6">
        <f>CHOOSE(Assumptions!$C$3,Calc_Pess!Z18,Calc_Base!Z18,Calc_Opt!Z18)</f>
        <v/>
      </c>
    </row>
    <row r="11">
      <c r="A11" t="inlineStr">
        <is>
          <t>IAP נטו (₪) - אנגלית</t>
        </is>
      </c>
      <c r="B11" s="6">
        <f>SUM(C11:Z11)</f>
        <v/>
      </c>
      <c r="C11" s="6">
        <f>IF(Assumptions!$C$4=2,CHOOSE(Assumptions!$C$3,Calc_Pess!C38,Calc_Base!C38,Calc_Opt!C38),0)</f>
        <v/>
      </c>
      <c r="D11" s="6">
        <f>IF(Assumptions!$C$4=2,CHOOSE(Assumptions!$C$3,Calc_Pess!D38,Calc_Base!D38,Calc_Opt!D38),0)</f>
        <v/>
      </c>
      <c r="E11" s="6">
        <f>IF(Assumptions!$C$4=2,CHOOSE(Assumptions!$C$3,Calc_Pess!E38,Calc_Base!E38,Calc_Opt!E38),0)</f>
        <v/>
      </c>
      <c r="F11" s="6">
        <f>IF(Assumptions!$C$4=2,CHOOSE(Assumptions!$C$3,Calc_Pess!F38,Calc_Base!F38,Calc_Opt!F38),0)</f>
        <v/>
      </c>
      <c r="G11" s="6">
        <f>IF(Assumptions!$C$4=2,CHOOSE(Assumptions!$C$3,Calc_Pess!G38,Calc_Base!G38,Calc_Opt!G38),0)</f>
        <v/>
      </c>
      <c r="H11" s="6">
        <f>IF(Assumptions!$C$4=2,CHOOSE(Assumptions!$C$3,Calc_Pess!H38,Calc_Base!H38,Calc_Opt!H38),0)</f>
        <v/>
      </c>
      <c r="I11" s="6">
        <f>IF(Assumptions!$C$4=2,CHOOSE(Assumptions!$C$3,Calc_Pess!I38,Calc_Base!I38,Calc_Opt!I38),0)</f>
        <v/>
      </c>
      <c r="J11" s="6">
        <f>IF(Assumptions!$C$4=2,CHOOSE(Assumptions!$C$3,Calc_Pess!J38,Calc_Base!J38,Calc_Opt!J38),0)</f>
        <v/>
      </c>
      <c r="K11" s="6">
        <f>IF(Assumptions!$C$4=2,CHOOSE(Assumptions!$C$3,Calc_Pess!K38,Calc_Base!K38,Calc_Opt!K38),0)</f>
        <v/>
      </c>
      <c r="L11" s="6">
        <f>IF(Assumptions!$C$4=2,CHOOSE(Assumptions!$C$3,Calc_Pess!L38,Calc_Base!L38,Calc_Opt!L38),0)</f>
        <v/>
      </c>
      <c r="M11" s="6">
        <f>IF(Assumptions!$C$4=2,CHOOSE(Assumptions!$C$3,Calc_Pess!M38,Calc_Base!M38,Calc_Opt!M38),0)</f>
        <v/>
      </c>
      <c r="N11" s="6">
        <f>IF(Assumptions!$C$4=2,CHOOSE(Assumptions!$C$3,Calc_Pess!N38,Calc_Base!N38,Calc_Opt!N38),0)</f>
        <v/>
      </c>
      <c r="O11" s="6">
        <f>IF(Assumptions!$C$4=2,CHOOSE(Assumptions!$C$3,Calc_Pess!O38,Calc_Base!O38,Calc_Opt!O38),0)</f>
        <v/>
      </c>
      <c r="P11" s="6">
        <f>IF(Assumptions!$C$4=2,CHOOSE(Assumptions!$C$3,Calc_Pess!P38,Calc_Base!P38,Calc_Opt!P38),0)</f>
        <v/>
      </c>
      <c r="Q11" s="6">
        <f>IF(Assumptions!$C$4=2,CHOOSE(Assumptions!$C$3,Calc_Pess!Q38,Calc_Base!Q38,Calc_Opt!Q38),0)</f>
        <v/>
      </c>
      <c r="R11" s="6">
        <f>IF(Assumptions!$C$4=2,CHOOSE(Assumptions!$C$3,Calc_Pess!R38,Calc_Base!R38,Calc_Opt!R38),0)</f>
        <v/>
      </c>
      <c r="S11" s="6">
        <f>IF(Assumptions!$C$4=2,CHOOSE(Assumptions!$C$3,Calc_Pess!S38,Calc_Base!S38,Calc_Opt!S38),0)</f>
        <v/>
      </c>
      <c r="T11" s="6">
        <f>IF(Assumptions!$C$4=2,CHOOSE(Assumptions!$C$3,Calc_Pess!T38,Calc_Base!T38,Calc_Opt!T38),0)</f>
        <v/>
      </c>
      <c r="U11" s="6">
        <f>IF(Assumptions!$C$4=2,CHOOSE(Assumptions!$C$3,Calc_Pess!U38,Calc_Base!U38,Calc_Opt!U38),0)</f>
        <v/>
      </c>
      <c r="V11" s="6">
        <f>IF(Assumptions!$C$4=2,CHOOSE(Assumptions!$C$3,Calc_Pess!V38,Calc_Base!V38,Calc_Opt!V38),0)</f>
        <v/>
      </c>
      <c r="W11" s="6">
        <f>IF(Assumptions!$C$4=2,CHOOSE(Assumptions!$C$3,Calc_Pess!W38,Calc_Base!W38,Calc_Opt!W38),0)</f>
        <v/>
      </c>
      <c r="X11" s="6">
        <f>IF(Assumptions!$C$4=2,CHOOSE(Assumptions!$C$3,Calc_Pess!X38,Calc_Base!X38,Calc_Opt!X38),0)</f>
        <v/>
      </c>
      <c r="Y11" s="6">
        <f>IF(Assumptions!$C$4=2,CHOOSE(Assumptions!$C$3,Calc_Pess!Y38,Calc_Base!Y38,Calc_Opt!Y38),0)</f>
        <v/>
      </c>
      <c r="Z11" s="6">
        <f>IF(Assumptions!$C$4=2,CHOOSE(Assumptions!$C$3,Calc_Pess!Z38,Calc_Base!Z38,Calc_Opt!Z38),0)</f>
        <v/>
      </c>
    </row>
    <row r="12">
      <c r="A12" t="inlineStr">
        <is>
          <t>B2B (₪)</t>
        </is>
      </c>
      <c r="B12" s="6">
        <f>SUM(C12:Z12)</f>
        <v/>
      </c>
      <c r="C12" s="6">
        <f>CHOOSE(Assumptions!$C$3,Calc_Pess!C22,Calc_Base!C22,Calc_Opt!C22)</f>
        <v/>
      </c>
      <c r="D12" s="6">
        <f>CHOOSE(Assumptions!$C$3,Calc_Pess!D22,Calc_Base!D22,Calc_Opt!D22)</f>
        <v/>
      </c>
      <c r="E12" s="6">
        <f>CHOOSE(Assumptions!$C$3,Calc_Pess!E22,Calc_Base!E22,Calc_Opt!E22)</f>
        <v/>
      </c>
      <c r="F12" s="6">
        <f>CHOOSE(Assumptions!$C$3,Calc_Pess!F22,Calc_Base!F22,Calc_Opt!F22)</f>
        <v/>
      </c>
      <c r="G12" s="6">
        <f>CHOOSE(Assumptions!$C$3,Calc_Pess!G22,Calc_Base!G22,Calc_Opt!G22)</f>
        <v/>
      </c>
      <c r="H12" s="6">
        <f>CHOOSE(Assumptions!$C$3,Calc_Pess!H22,Calc_Base!H22,Calc_Opt!H22)</f>
        <v/>
      </c>
      <c r="I12" s="6">
        <f>CHOOSE(Assumptions!$C$3,Calc_Pess!I22,Calc_Base!I22,Calc_Opt!I22)</f>
        <v/>
      </c>
      <c r="J12" s="6">
        <f>CHOOSE(Assumptions!$C$3,Calc_Pess!J22,Calc_Base!J22,Calc_Opt!J22)</f>
        <v/>
      </c>
      <c r="K12" s="6">
        <f>CHOOSE(Assumptions!$C$3,Calc_Pess!K22,Calc_Base!K22,Calc_Opt!K22)</f>
        <v/>
      </c>
      <c r="L12" s="6">
        <f>CHOOSE(Assumptions!$C$3,Calc_Pess!L22,Calc_Base!L22,Calc_Opt!L22)</f>
        <v/>
      </c>
      <c r="M12" s="6">
        <f>CHOOSE(Assumptions!$C$3,Calc_Pess!M22,Calc_Base!M22,Calc_Opt!M22)</f>
        <v/>
      </c>
      <c r="N12" s="6">
        <f>CHOOSE(Assumptions!$C$3,Calc_Pess!N22,Calc_Base!N22,Calc_Opt!N22)</f>
        <v/>
      </c>
      <c r="O12" s="6">
        <f>CHOOSE(Assumptions!$C$3,Calc_Pess!O22,Calc_Base!O22,Calc_Opt!O22)</f>
        <v/>
      </c>
      <c r="P12" s="6">
        <f>CHOOSE(Assumptions!$C$3,Calc_Pess!P22,Calc_Base!P22,Calc_Opt!P22)</f>
        <v/>
      </c>
      <c r="Q12" s="6">
        <f>CHOOSE(Assumptions!$C$3,Calc_Pess!Q22,Calc_Base!Q22,Calc_Opt!Q22)</f>
        <v/>
      </c>
      <c r="R12" s="6">
        <f>CHOOSE(Assumptions!$C$3,Calc_Pess!R22,Calc_Base!R22,Calc_Opt!R22)</f>
        <v/>
      </c>
      <c r="S12" s="6">
        <f>CHOOSE(Assumptions!$C$3,Calc_Pess!S22,Calc_Base!S22,Calc_Opt!S22)</f>
        <v/>
      </c>
      <c r="T12" s="6">
        <f>CHOOSE(Assumptions!$C$3,Calc_Pess!T22,Calc_Base!T22,Calc_Opt!T22)</f>
        <v/>
      </c>
      <c r="U12" s="6">
        <f>CHOOSE(Assumptions!$C$3,Calc_Pess!U22,Calc_Base!U22,Calc_Opt!U22)</f>
        <v/>
      </c>
      <c r="V12" s="6">
        <f>CHOOSE(Assumptions!$C$3,Calc_Pess!V22,Calc_Base!V22,Calc_Opt!V22)</f>
        <v/>
      </c>
      <c r="W12" s="6">
        <f>CHOOSE(Assumptions!$C$3,Calc_Pess!W22,Calc_Base!W22,Calc_Opt!W22)</f>
        <v/>
      </c>
      <c r="X12" s="6">
        <f>CHOOSE(Assumptions!$C$3,Calc_Pess!X22,Calc_Base!X22,Calc_Opt!X22)</f>
        <v/>
      </c>
      <c r="Y12" s="6">
        <f>CHOOSE(Assumptions!$C$3,Calc_Pess!Y22,Calc_Base!Y22,Calc_Opt!Y22)</f>
        <v/>
      </c>
      <c r="Z12" s="6">
        <f>CHOOSE(Assumptions!$C$3,Calc_Pess!Z22,Calc_Base!Z22,Calc_Opt!Z22)</f>
        <v/>
      </c>
    </row>
    <row r="13">
      <c r="A13" s="1" t="inlineStr">
        <is>
          <t>סה"כ הכנסות (₪)</t>
        </is>
      </c>
      <c r="B13" s="6">
        <f>SUM(C13:Z13)</f>
        <v/>
      </c>
      <c r="C13" s="6">
        <f>C8+C9+C10+C11+C12</f>
        <v/>
      </c>
      <c r="D13" s="6">
        <f>D8+D9+D10+D11+D12</f>
        <v/>
      </c>
      <c r="E13" s="6">
        <f>E8+E9+E10+E11+E12</f>
        <v/>
      </c>
      <c r="F13" s="6">
        <f>F8+F9+F10+F11+F12</f>
        <v/>
      </c>
      <c r="G13" s="6">
        <f>G8+G9+G10+G11+G12</f>
        <v/>
      </c>
      <c r="H13" s="6">
        <f>H8+H9+H10+H11+H12</f>
        <v/>
      </c>
      <c r="I13" s="6">
        <f>I8+I9+I10+I11+I12</f>
        <v/>
      </c>
      <c r="J13" s="6">
        <f>J8+J9+J10+J11+J12</f>
        <v/>
      </c>
      <c r="K13" s="6">
        <f>K8+K9+K10+K11+K12</f>
        <v/>
      </c>
      <c r="L13" s="6">
        <f>L8+L9+L10+L11+L12</f>
        <v/>
      </c>
      <c r="M13" s="6">
        <f>M8+M9+M10+M11+M12</f>
        <v/>
      </c>
      <c r="N13" s="6">
        <f>N8+N9+N10+N11+N12</f>
        <v/>
      </c>
      <c r="O13" s="6">
        <f>O8+O9+O10+O11+O12</f>
        <v/>
      </c>
      <c r="P13" s="6">
        <f>P8+P9+P10+P11+P12</f>
        <v/>
      </c>
      <c r="Q13" s="6">
        <f>Q8+Q9+Q10+Q11+Q12</f>
        <v/>
      </c>
      <c r="R13" s="6">
        <f>R8+R9+R10+R11+R12</f>
        <v/>
      </c>
      <c r="S13" s="6">
        <f>S8+S9+S10+S11+S12</f>
        <v/>
      </c>
      <c r="T13" s="6">
        <f>T8+T9+T10+T11+T12</f>
        <v/>
      </c>
      <c r="U13" s="6">
        <f>U8+U9+U10+U11+U12</f>
        <v/>
      </c>
      <c r="V13" s="6">
        <f>V8+V9+V10+V11+V12</f>
        <v/>
      </c>
      <c r="W13" s="6">
        <f>W8+W9+W10+W11+W12</f>
        <v/>
      </c>
      <c r="X13" s="6">
        <f>X8+X9+X10+X11+X12</f>
        <v/>
      </c>
      <c r="Y13" s="6">
        <f>Y8+Y9+Y10+Y11+Y12</f>
        <v/>
      </c>
      <c r="Z13" s="6">
        <f>Z8+Z9+Z10+Z11+Z12</f>
        <v/>
      </c>
    </row>
    <row r="14">
      <c r="A14" t="inlineStr">
        <is>
          <t>עלויות מזומן (₪)</t>
        </is>
      </c>
      <c r="B14" s="6">
        <f>SUM(C14:Z14)</f>
        <v/>
      </c>
      <c r="C14" s="6">
        <f>IF(Assumptions!$C$4=2,CHOOSE(Assumptions!$C$3,Calc_Pess!C45,Calc_Base!C45,Calc_Opt!C45),CHOOSE(Assumptions!$C$3,Calc_Pess!C44,Calc_Base!C44,Calc_Opt!C44))</f>
        <v/>
      </c>
      <c r="D14" s="6">
        <f>IF(Assumptions!$C$4=2,CHOOSE(Assumptions!$C$3,Calc_Pess!D45,Calc_Base!D45,Calc_Opt!D45),CHOOSE(Assumptions!$C$3,Calc_Pess!D44,Calc_Base!D44,Calc_Opt!D44))</f>
        <v/>
      </c>
      <c r="E14" s="6">
        <f>IF(Assumptions!$C$4=2,CHOOSE(Assumptions!$C$3,Calc_Pess!E45,Calc_Base!E45,Calc_Opt!E45),CHOOSE(Assumptions!$C$3,Calc_Pess!E44,Calc_Base!E44,Calc_Opt!E44))</f>
        <v/>
      </c>
      <c r="F14" s="6">
        <f>IF(Assumptions!$C$4=2,CHOOSE(Assumptions!$C$3,Calc_Pess!F45,Calc_Base!F45,Calc_Opt!F45),CHOOSE(Assumptions!$C$3,Calc_Pess!F44,Calc_Base!F44,Calc_Opt!F44))</f>
        <v/>
      </c>
      <c r="G14" s="6">
        <f>IF(Assumptions!$C$4=2,CHOOSE(Assumptions!$C$3,Calc_Pess!G45,Calc_Base!G45,Calc_Opt!G45),CHOOSE(Assumptions!$C$3,Calc_Pess!G44,Calc_Base!G44,Calc_Opt!G44))</f>
        <v/>
      </c>
      <c r="H14" s="6">
        <f>IF(Assumptions!$C$4=2,CHOOSE(Assumptions!$C$3,Calc_Pess!H45,Calc_Base!H45,Calc_Opt!H45),CHOOSE(Assumptions!$C$3,Calc_Pess!H44,Calc_Base!H44,Calc_Opt!H44))</f>
        <v/>
      </c>
      <c r="I14" s="6">
        <f>IF(Assumptions!$C$4=2,CHOOSE(Assumptions!$C$3,Calc_Pess!I45,Calc_Base!I45,Calc_Opt!I45),CHOOSE(Assumptions!$C$3,Calc_Pess!I44,Calc_Base!I44,Calc_Opt!I44))</f>
        <v/>
      </c>
      <c r="J14" s="6">
        <f>IF(Assumptions!$C$4=2,CHOOSE(Assumptions!$C$3,Calc_Pess!J45,Calc_Base!J45,Calc_Opt!J45),CHOOSE(Assumptions!$C$3,Calc_Pess!J44,Calc_Base!J44,Calc_Opt!J44))</f>
        <v/>
      </c>
      <c r="K14" s="6">
        <f>IF(Assumptions!$C$4=2,CHOOSE(Assumptions!$C$3,Calc_Pess!K45,Calc_Base!K45,Calc_Opt!K45),CHOOSE(Assumptions!$C$3,Calc_Pess!K44,Calc_Base!K44,Calc_Opt!K44))</f>
        <v/>
      </c>
      <c r="L14" s="6">
        <f>IF(Assumptions!$C$4=2,CHOOSE(Assumptions!$C$3,Calc_Pess!L45,Calc_Base!L45,Calc_Opt!L45),CHOOSE(Assumptions!$C$3,Calc_Pess!L44,Calc_Base!L44,Calc_Opt!L44))</f>
        <v/>
      </c>
      <c r="M14" s="6">
        <f>IF(Assumptions!$C$4=2,CHOOSE(Assumptions!$C$3,Calc_Pess!M45,Calc_Base!M45,Calc_Opt!M45),CHOOSE(Assumptions!$C$3,Calc_Pess!M44,Calc_Base!M44,Calc_Opt!M44))</f>
        <v/>
      </c>
      <c r="N14" s="6">
        <f>IF(Assumptions!$C$4=2,CHOOSE(Assumptions!$C$3,Calc_Pess!N45,Calc_Base!N45,Calc_Opt!N45),CHOOSE(Assumptions!$C$3,Calc_Pess!N44,Calc_Base!N44,Calc_Opt!N44))</f>
        <v/>
      </c>
      <c r="O14" s="6">
        <f>IF(Assumptions!$C$4=2,CHOOSE(Assumptions!$C$3,Calc_Pess!O45,Calc_Base!O45,Calc_Opt!O45),CHOOSE(Assumptions!$C$3,Calc_Pess!O44,Calc_Base!O44,Calc_Opt!O44))</f>
        <v/>
      </c>
      <c r="P14" s="6">
        <f>IF(Assumptions!$C$4=2,CHOOSE(Assumptions!$C$3,Calc_Pess!P45,Calc_Base!P45,Calc_Opt!P45),CHOOSE(Assumptions!$C$3,Calc_Pess!P44,Calc_Base!P44,Calc_Opt!P44))</f>
        <v/>
      </c>
      <c r="Q14" s="6">
        <f>IF(Assumptions!$C$4=2,CHOOSE(Assumptions!$C$3,Calc_Pess!Q45,Calc_Base!Q45,Calc_Opt!Q45),CHOOSE(Assumptions!$C$3,Calc_Pess!Q44,Calc_Base!Q44,Calc_Opt!Q44))</f>
        <v/>
      </c>
      <c r="R14" s="6">
        <f>IF(Assumptions!$C$4=2,CHOOSE(Assumptions!$C$3,Calc_Pess!R45,Calc_Base!R45,Calc_Opt!R45),CHOOSE(Assumptions!$C$3,Calc_Pess!R44,Calc_Base!R44,Calc_Opt!R44))</f>
        <v/>
      </c>
      <c r="S14" s="6">
        <f>IF(Assumptions!$C$4=2,CHOOSE(Assumptions!$C$3,Calc_Pess!S45,Calc_Base!S45,Calc_Opt!S45),CHOOSE(Assumptions!$C$3,Calc_Pess!S44,Calc_Base!S44,Calc_Opt!S44))</f>
        <v/>
      </c>
      <c r="T14" s="6">
        <f>IF(Assumptions!$C$4=2,CHOOSE(Assumptions!$C$3,Calc_Pess!T45,Calc_Base!T45,Calc_Opt!T45),CHOOSE(Assumptions!$C$3,Calc_Pess!T44,Calc_Base!T44,Calc_Opt!T44))</f>
        <v/>
      </c>
      <c r="U14" s="6">
        <f>IF(Assumptions!$C$4=2,CHOOSE(Assumptions!$C$3,Calc_Pess!U45,Calc_Base!U45,Calc_Opt!U45),CHOOSE(Assumptions!$C$3,Calc_Pess!U44,Calc_Base!U44,Calc_Opt!U44))</f>
        <v/>
      </c>
      <c r="V14" s="6">
        <f>IF(Assumptions!$C$4=2,CHOOSE(Assumptions!$C$3,Calc_Pess!V45,Calc_Base!V45,Calc_Opt!V45),CHOOSE(Assumptions!$C$3,Calc_Pess!V44,Calc_Base!V44,Calc_Opt!V44))</f>
        <v/>
      </c>
      <c r="W14" s="6">
        <f>IF(Assumptions!$C$4=2,CHOOSE(Assumptions!$C$3,Calc_Pess!W45,Calc_Base!W45,Calc_Opt!W45),CHOOSE(Assumptions!$C$3,Calc_Pess!W44,Calc_Base!W44,Calc_Opt!W44))</f>
        <v/>
      </c>
      <c r="X14" s="6">
        <f>IF(Assumptions!$C$4=2,CHOOSE(Assumptions!$C$3,Calc_Pess!X45,Calc_Base!X45,Calc_Opt!X45),CHOOSE(Assumptions!$C$3,Calc_Pess!X44,Calc_Base!X44,Calc_Opt!X44))</f>
        <v/>
      </c>
      <c r="Y14" s="6">
        <f>IF(Assumptions!$C$4=2,CHOOSE(Assumptions!$C$3,Calc_Pess!Y45,Calc_Base!Y45,Calc_Opt!Y45),CHOOSE(Assumptions!$C$3,Calc_Pess!Y44,Calc_Base!Y44,Calc_Opt!Y44))</f>
        <v/>
      </c>
      <c r="Z14" s="6">
        <f>IF(Assumptions!$C$4=2,CHOOSE(Assumptions!$C$3,Calc_Pess!Z45,Calc_Base!Z45,Calc_Opt!Z45),CHOOSE(Assumptions!$C$3,Calc_Pess!Z44,Calc_Base!Z44,Calc_Opt!Z44))</f>
        <v/>
      </c>
    </row>
    <row r="15">
      <c r="A15" s="1" t="inlineStr">
        <is>
          <t>נטו חודשי (₪)</t>
        </is>
      </c>
      <c r="B15" s="6">
        <f>SUM(C15:Z15)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  <c r="O15" s="6">
        <f>O13-O14</f>
        <v/>
      </c>
      <c r="P15" s="6">
        <f>P13-P14</f>
        <v/>
      </c>
      <c r="Q15" s="6">
        <f>Q13-Q14</f>
        <v/>
      </c>
      <c r="R15" s="6">
        <f>R13-R14</f>
        <v/>
      </c>
      <c r="S15" s="6">
        <f>S13-S14</f>
        <v/>
      </c>
      <c r="T15" s="6">
        <f>T13-T14</f>
        <v/>
      </c>
      <c r="U15" s="6">
        <f>U13-U14</f>
        <v/>
      </c>
      <c r="V15" s="6">
        <f>V13-V14</f>
        <v/>
      </c>
      <c r="W15" s="6">
        <f>W13-W14</f>
        <v/>
      </c>
      <c r="X15" s="6">
        <f>X13-X14</f>
        <v/>
      </c>
      <c r="Y15" s="6">
        <f>Y13-Y14</f>
        <v/>
      </c>
      <c r="Z15" s="6">
        <f>Z13-Z14</f>
        <v/>
      </c>
    </row>
    <row r="16">
      <c r="A16" s="1" t="inlineStr">
        <is>
          <t>נטו מצטבר (₪)</t>
        </is>
      </c>
      <c r="C16" s="6">
        <f>C15</f>
        <v/>
      </c>
      <c r="D16" s="6">
        <f>C16+D15</f>
        <v/>
      </c>
      <c r="E16" s="6">
        <f>D16+E15</f>
        <v/>
      </c>
      <c r="F16" s="6">
        <f>E16+F15</f>
        <v/>
      </c>
      <c r="G16" s="6">
        <f>F16+G15</f>
        <v/>
      </c>
      <c r="H16" s="6">
        <f>G16+H15</f>
        <v/>
      </c>
      <c r="I16" s="6">
        <f>H16+I15</f>
        <v/>
      </c>
      <c r="J16" s="6">
        <f>I16+J15</f>
        <v/>
      </c>
      <c r="K16" s="6">
        <f>J16+K15</f>
        <v/>
      </c>
      <c r="L16" s="6">
        <f>K16+L15</f>
        <v/>
      </c>
      <c r="M16" s="6">
        <f>L16+M15</f>
        <v/>
      </c>
      <c r="N16" s="6">
        <f>M16+N15</f>
        <v/>
      </c>
      <c r="O16" s="6">
        <f>N16+O15</f>
        <v/>
      </c>
      <c r="P16" s="6">
        <f>O16+P15</f>
        <v/>
      </c>
      <c r="Q16" s="6">
        <f>P16+Q15</f>
        <v/>
      </c>
      <c r="R16" s="6">
        <f>Q16+R15</f>
        <v/>
      </c>
      <c r="S16" s="6">
        <f>R16+S15</f>
        <v/>
      </c>
      <c r="T16" s="6">
        <f>S16+T15</f>
        <v/>
      </c>
      <c r="U16" s="6">
        <f>T16+U15</f>
        <v/>
      </c>
      <c r="V16" s="6">
        <f>U16+V15</f>
        <v/>
      </c>
      <c r="W16" s="6">
        <f>V16+W15</f>
        <v/>
      </c>
      <c r="X16" s="6">
        <f>W16+X15</f>
        <v/>
      </c>
      <c r="Y16" s="6">
        <f>X16+Y15</f>
        <v/>
      </c>
      <c r="Z16" s="6">
        <f>Y16+Z15</f>
        <v/>
      </c>
    </row>
    <row r="18">
      <c r="A18" t="inlineStr">
        <is>
          <t>הכנסות 12 חודשים ראשונים (₪)</t>
        </is>
      </c>
      <c r="B18" s="6">
        <f>SUM(C13:N13)</f>
        <v/>
      </c>
    </row>
    <row r="19">
      <c r="A19" t="inlineStr">
        <is>
          <t>נטו 12 חודשים ראשונים (₪)</t>
        </is>
      </c>
      <c r="B19" s="6">
        <f>SUM(C15:N15)</f>
        <v/>
      </c>
    </row>
    <row r="20">
      <c r="A20" t="inlineStr">
        <is>
          <t>חודש איזון (מצטבר &gt;=0)</t>
        </is>
      </c>
      <c r="B20">
        <f>IFERROR(INDEX(C3:Z3,MATCH(1,INDEX(--(C16:Z16&gt;=0),0),0)),"לא בתוך 24 חודשים")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תרחישים - כל השישה במקביל (₪)</t>
        </is>
      </c>
    </row>
    <row r="3">
      <c r="A3" s="3" t="inlineStr">
        <is>
          <t>תרחיש</t>
        </is>
      </c>
      <c r="B3" s="3" t="inlineStr">
        <is>
          <t>שפה</t>
        </is>
      </c>
      <c r="C3" s="3" t="inlineStr">
        <is>
          <t>התקנות 12 חו'</t>
        </is>
      </c>
      <c r="D3" s="3" t="inlineStr">
        <is>
          <t>הכנסות 12 חו'</t>
        </is>
      </c>
      <c r="E3" s="3" t="inlineStr">
        <is>
          <t>עלויות מזומן 12 חו'</t>
        </is>
      </c>
      <c r="F3" s="3" t="inlineStr">
        <is>
          <t>נטו 12 חו'</t>
        </is>
      </c>
      <c r="G3" s="3" t="inlineStr">
        <is>
          <t>הכנסה חודשית בחודש 12</t>
        </is>
      </c>
      <c r="H3" s="3" t="inlineStr">
        <is>
          <t>נטו מצטבר 24 חו'</t>
        </is>
      </c>
      <c r="I3" s="3" t="inlineStr">
        <is>
          <t>חודש איזון (מזומן)</t>
        </is>
      </c>
      <c r="J3" s="3" t="inlineStr">
        <is>
          <t>חודש איזון כולל זמן פיתוח</t>
        </is>
      </c>
    </row>
    <row r="4">
      <c r="A4" t="inlineStr">
        <is>
          <t>פסימי</t>
        </is>
      </c>
      <c r="B4" t="inlineStr">
        <is>
          <t>עברית בלבד</t>
        </is>
      </c>
      <c r="C4" s="6">
        <f>SUM(Calc_Pess!C8:N8)</f>
        <v/>
      </c>
      <c r="D4" s="6">
        <f>SUM(Calc_Pess!C41:N41)</f>
        <v/>
      </c>
      <c r="E4" s="6">
        <f>SUM(Calc_Pess!C44:N44)</f>
        <v/>
      </c>
      <c r="F4" s="6">
        <f>D4-E4</f>
        <v/>
      </c>
      <c r="G4" s="6">
        <f>Calc_Pess!N41</f>
        <v/>
      </c>
      <c r="H4" s="6">
        <f>Calc_Pess!Z48</f>
        <v/>
      </c>
      <c r="I4">
        <f>Calc_Pess!B52</f>
        <v/>
      </c>
      <c r="J4">
        <f>Calc_Pess!B54</f>
        <v/>
      </c>
    </row>
    <row r="5">
      <c r="A5" t="inlineStr">
        <is>
          <t>פסימי</t>
        </is>
      </c>
      <c r="B5" t="inlineStr">
        <is>
          <t>עברית+אנגלית</t>
        </is>
      </c>
      <c r="C5" s="6">
        <f>SUM(Calc_Pess!C8:N8)+SUM(Calc_Pess!C28:N28)</f>
        <v/>
      </c>
      <c r="D5" s="6">
        <f>SUM(Calc_Pess!C43:N43)</f>
        <v/>
      </c>
      <c r="E5" s="6">
        <f>SUM(Calc_Pess!C45:N45)</f>
        <v/>
      </c>
      <c r="F5" s="6">
        <f>D5-E5</f>
        <v/>
      </c>
      <c r="G5" s="6">
        <f>Calc_Pess!N43</f>
        <v/>
      </c>
      <c r="H5" s="6">
        <f>Calc_Pess!Z49</f>
        <v/>
      </c>
      <c r="I5">
        <f>Calc_Pess!B53</f>
        <v/>
      </c>
      <c r="J5">
        <f>Calc_Pess!B55</f>
        <v/>
      </c>
    </row>
    <row r="6">
      <c r="A6" t="inlineStr">
        <is>
          <t>בסיס</t>
        </is>
      </c>
      <c r="B6" t="inlineStr">
        <is>
          <t>עברית בלבד</t>
        </is>
      </c>
      <c r="C6" s="6">
        <f>SUM(Calc_Base!C8:N8)</f>
        <v/>
      </c>
      <c r="D6" s="6">
        <f>SUM(Calc_Base!C41:N41)</f>
        <v/>
      </c>
      <c r="E6" s="6">
        <f>SUM(Calc_Base!C44:N44)</f>
        <v/>
      </c>
      <c r="F6" s="6">
        <f>D6-E6</f>
        <v/>
      </c>
      <c r="G6" s="6">
        <f>Calc_Base!N41</f>
        <v/>
      </c>
      <c r="H6" s="6">
        <f>Calc_Base!Z48</f>
        <v/>
      </c>
      <c r="I6">
        <f>Calc_Base!B52</f>
        <v/>
      </c>
      <c r="J6">
        <f>Calc_Base!B54</f>
        <v/>
      </c>
    </row>
    <row r="7">
      <c r="A7" t="inlineStr">
        <is>
          <t>בסיס</t>
        </is>
      </c>
      <c r="B7" t="inlineStr">
        <is>
          <t>עברית+אנגלית</t>
        </is>
      </c>
      <c r="C7" s="6">
        <f>SUM(Calc_Base!C8:N8)+SUM(Calc_Base!C28:N28)</f>
        <v/>
      </c>
      <c r="D7" s="6">
        <f>SUM(Calc_Base!C43:N43)</f>
        <v/>
      </c>
      <c r="E7" s="6">
        <f>SUM(Calc_Base!C45:N45)</f>
        <v/>
      </c>
      <c r="F7" s="6">
        <f>D7-E7</f>
        <v/>
      </c>
      <c r="G7" s="6">
        <f>Calc_Base!N43</f>
        <v/>
      </c>
      <c r="H7" s="6">
        <f>Calc_Base!Z49</f>
        <v/>
      </c>
      <c r="I7">
        <f>Calc_Base!B53</f>
        <v/>
      </c>
      <c r="J7">
        <f>Calc_Base!B55</f>
        <v/>
      </c>
    </row>
    <row r="8">
      <c r="A8" t="inlineStr">
        <is>
          <t>אופטימי</t>
        </is>
      </c>
      <c r="B8" t="inlineStr">
        <is>
          <t>עברית בלבד</t>
        </is>
      </c>
      <c r="C8" s="6">
        <f>SUM(Calc_Opt!C8:N8)</f>
        <v/>
      </c>
      <c r="D8" s="6">
        <f>SUM(Calc_Opt!C41:N41)</f>
        <v/>
      </c>
      <c r="E8" s="6">
        <f>SUM(Calc_Opt!C44:N44)</f>
        <v/>
      </c>
      <c r="F8" s="6">
        <f>D8-E8</f>
        <v/>
      </c>
      <c r="G8" s="6">
        <f>Calc_Opt!N41</f>
        <v/>
      </c>
      <c r="H8" s="6">
        <f>Calc_Opt!Z48</f>
        <v/>
      </c>
      <c r="I8">
        <f>Calc_Opt!B52</f>
        <v/>
      </c>
      <c r="J8">
        <f>Calc_Opt!B54</f>
        <v/>
      </c>
    </row>
    <row r="9">
      <c r="A9" t="inlineStr">
        <is>
          <t>אופטימי</t>
        </is>
      </c>
      <c r="B9" t="inlineStr">
        <is>
          <t>עברית+אנגלית</t>
        </is>
      </c>
      <c r="C9" s="6">
        <f>SUM(Calc_Opt!C8:N8)+SUM(Calc_Opt!C28:N28)</f>
        <v/>
      </c>
      <c r="D9" s="6">
        <f>SUM(Calc_Opt!C43:N43)</f>
        <v/>
      </c>
      <c r="E9" s="6">
        <f>SUM(Calc_Opt!C45:N45)</f>
        <v/>
      </c>
      <c r="F9" s="6">
        <f>D9-E9</f>
        <v/>
      </c>
      <c r="G9" s="6">
        <f>Calc_Opt!N43</f>
        <v/>
      </c>
      <c r="H9" s="6">
        <f>Calc_Opt!Z49</f>
        <v/>
      </c>
      <c r="I9">
        <f>Calc_Opt!B53</f>
        <v/>
      </c>
      <c r="J9">
        <f>Calc_Opt!B55</f>
        <v/>
      </c>
    </row>
    <row r="11">
      <c r="A11" s="1" t="inlineStr">
        <is>
          <t>נטו מצטבר לפי חודש (לגרף)</t>
        </is>
      </c>
    </row>
    <row r="12">
      <c r="A12" t="inlineStr">
        <is>
          <t>חודש</t>
        </is>
      </c>
      <c r="B12" t="n">
        <v>1</v>
      </c>
      <c r="C12" t="n">
        <v>2</v>
      </c>
      <c r="D12" t="n">
        <v>3</v>
      </c>
      <c r="E12" t="n">
        <v>4</v>
      </c>
      <c r="F12" t="n">
        <v>5</v>
      </c>
      <c r="G12" t="n">
        <v>6</v>
      </c>
      <c r="H12" t="n">
        <v>7</v>
      </c>
      <c r="I12" t="n">
        <v>8</v>
      </c>
      <c r="J12" t="n">
        <v>9</v>
      </c>
      <c r="K12" t="n">
        <v>10</v>
      </c>
      <c r="L12" t="n">
        <v>11</v>
      </c>
      <c r="M12" t="n">
        <v>12</v>
      </c>
      <c r="N12" t="n">
        <v>13</v>
      </c>
      <c r="O12" t="n">
        <v>14</v>
      </c>
      <c r="P12" t="n">
        <v>15</v>
      </c>
      <c r="Q12" t="n">
        <v>16</v>
      </c>
      <c r="R12" t="n">
        <v>17</v>
      </c>
      <c r="S12" t="n">
        <v>18</v>
      </c>
      <c r="T12" t="n">
        <v>19</v>
      </c>
      <c r="U12" t="n">
        <v>20</v>
      </c>
      <c r="V12" t="n">
        <v>21</v>
      </c>
      <c r="W12" t="n">
        <v>22</v>
      </c>
      <c r="X12" t="n">
        <v>23</v>
      </c>
      <c r="Y12" t="n">
        <v>24</v>
      </c>
    </row>
    <row r="13">
      <c r="A13" t="inlineStr">
        <is>
          <t>פסימי - עברית בלבד</t>
        </is>
      </c>
      <c r="B13" s="6">
        <f>Calc_Pess!C48</f>
        <v/>
      </c>
      <c r="C13" s="6">
        <f>Calc_Pess!D48</f>
        <v/>
      </c>
      <c r="D13" s="6">
        <f>Calc_Pess!E48</f>
        <v/>
      </c>
      <c r="E13" s="6">
        <f>Calc_Pess!F48</f>
        <v/>
      </c>
      <c r="F13" s="6">
        <f>Calc_Pess!G48</f>
        <v/>
      </c>
      <c r="G13" s="6">
        <f>Calc_Pess!H48</f>
        <v/>
      </c>
      <c r="H13" s="6">
        <f>Calc_Pess!I48</f>
        <v/>
      </c>
      <c r="I13" s="6">
        <f>Calc_Pess!J48</f>
        <v/>
      </c>
      <c r="J13" s="6">
        <f>Calc_Pess!K48</f>
        <v/>
      </c>
      <c r="K13" s="6">
        <f>Calc_Pess!L48</f>
        <v/>
      </c>
      <c r="L13" s="6">
        <f>Calc_Pess!M48</f>
        <v/>
      </c>
      <c r="M13" s="6">
        <f>Calc_Pess!N48</f>
        <v/>
      </c>
      <c r="N13" s="6">
        <f>Calc_Pess!O48</f>
        <v/>
      </c>
      <c r="O13" s="6">
        <f>Calc_Pess!P48</f>
        <v/>
      </c>
      <c r="P13" s="6">
        <f>Calc_Pess!Q48</f>
        <v/>
      </c>
      <c r="Q13" s="6">
        <f>Calc_Pess!R48</f>
        <v/>
      </c>
      <c r="R13" s="6">
        <f>Calc_Pess!S48</f>
        <v/>
      </c>
      <c r="S13" s="6">
        <f>Calc_Pess!T48</f>
        <v/>
      </c>
      <c r="T13" s="6">
        <f>Calc_Pess!U48</f>
        <v/>
      </c>
      <c r="U13" s="6">
        <f>Calc_Pess!V48</f>
        <v/>
      </c>
      <c r="V13" s="6">
        <f>Calc_Pess!W48</f>
        <v/>
      </c>
      <c r="W13" s="6">
        <f>Calc_Pess!X48</f>
        <v/>
      </c>
      <c r="X13" s="6">
        <f>Calc_Pess!Y48</f>
        <v/>
      </c>
      <c r="Y13" s="6">
        <f>Calc_Pess!Z48</f>
        <v/>
      </c>
    </row>
    <row r="14">
      <c r="A14" t="inlineStr">
        <is>
          <t>פסימי - עברית+אנגלית</t>
        </is>
      </c>
      <c r="B14" s="6">
        <f>Calc_Pess!C49</f>
        <v/>
      </c>
      <c r="C14" s="6">
        <f>Calc_Pess!D49</f>
        <v/>
      </c>
      <c r="D14" s="6">
        <f>Calc_Pess!E49</f>
        <v/>
      </c>
      <c r="E14" s="6">
        <f>Calc_Pess!F49</f>
        <v/>
      </c>
      <c r="F14" s="6">
        <f>Calc_Pess!G49</f>
        <v/>
      </c>
      <c r="G14" s="6">
        <f>Calc_Pess!H49</f>
        <v/>
      </c>
      <c r="H14" s="6">
        <f>Calc_Pess!I49</f>
        <v/>
      </c>
      <c r="I14" s="6">
        <f>Calc_Pess!J49</f>
        <v/>
      </c>
      <c r="J14" s="6">
        <f>Calc_Pess!K49</f>
        <v/>
      </c>
      <c r="K14" s="6">
        <f>Calc_Pess!L49</f>
        <v/>
      </c>
      <c r="L14" s="6">
        <f>Calc_Pess!M49</f>
        <v/>
      </c>
      <c r="M14" s="6">
        <f>Calc_Pess!N49</f>
        <v/>
      </c>
      <c r="N14" s="6">
        <f>Calc_Pess!O49</f>
        <v/>
      </c>
      <c r="O14" s="6">
        <f>Calc_Pess!P49</f>
        <v/>
      </c>
      <c r="P14" s="6">
        <f>Calc_Pess!Q49</f>
        <v/>
      </c>
      <c r="Q14" s="6">
        <f>Calc_Pess!R49</f>
        <v/>
      </c>
      <c r="R14" s="6">
        <f>Calc_Pess!S49</f>
        <v/>
      </c>
      <c r="S14" s="6">
        <f>Calc_Pess!T49</f>
        <v/>
      </c>
      <c r="T14" s="6">
        <f>Calc_Pess!U49</f>
        <v/>
      </c>
      <c r="U14" s="6">
        <f>Calc_Pess!V49</f>
        <v/>
      </c>
      <c r="V14" s="6">
        <f>Calc_Pess!W49</f>
        <v/>
      </c>
      <c r="W14" s="6">
        <f>Calc_Pess!X49</f>
        <v/>
      </c>
      <c r="X14" s="6">
        <f>Calc_Pess!Y49</f>
        <v/>
      </c>
      <c r="Y14" s="6">
        <f>Calc_Pess!Z49</f>
        <v/>
      </c>
    </row>
    <row r="15">
      <c r="A15" t="inlineStr">
        <is>
          <t>בסיס - עברית בלבד</t>
        </is>
      </c>
      <c r="B15" s="6">
        <f>Calc_Base!C48</f>
        <v/>
      </c>
      <c r="C15" s="6">
        <f>Calc_Base!D48</f>
        <v/>
      </c>
      <c r="D15" s="6">
        <f>Calc_Base!E48</f>
        <v/>
      </c>
      <c r="E15" s="6">
        <f>Calc_Base!F48</f>
        <v/>
      </c>
      <c r="F15" s="6">
        <f>Calc_Base!G48</f>
        <v/>
      </c>
      <c r="G15" s="6">
        <f>Calc_Base!H48</f>
        <v/>
      </c>
      <c r="H15" s="6">
        <f>Calc_Base!I48</f>
        <v/>
      </c>
      <c r="I15" s="6">
        <f>Calc_Base!J48</f>
        <v/>
      </c>
      <c r="J15" s="6">
        <f>Calc_Base!K48</f>
        <v/>
      </c>
      <c r="K15" s="6">
        <f>Calc_Base!L48</f>
        <v/>
      </c>
      <c r="L15" s="6">
        <f>Calc_Base!M48</f>
        <v/>
      </c>
      <c r="M15" s="6">
        <f>Calc_Base!N48</f>
        <v/>
      </c>
      <c r="N15" s="6">
        <f>Calc_Base!O48</f>
        <v/>
      </c>
      <c r="O15" s="6">
        <f>Calc_Base!P48</f>
        <v/>
      </c>
      <c r="P15" s="6">
        <f>Calc_Base!Q48</f>
        <v/>
      </c>
      <c r="Q15" s="6">
        <f>Calc_Base!R48</f>
        <v/>
      </c>
      <c r="R15" s="6">
        <f>Calc_Base!S48</f>
        <v/>
      </c>
      <c r="S15" s="6">
        <f>Calc_Base!T48</f>
        <v/>
      </c>
      <c r="T15" s="6">
        <f>Calc_Base!U48</f>
        <v/>
      </c>
      <c r="U15" s="6">
        <f>Calc_Base!V48</f>
        <v/>
      </c>
      <c r="V15" s="6">
        <f>Calc_Base!W48</f>
        <v/>
      </c>
      <c r="W15" s="6">
        <f>Calc_Base!X48</f>
        <v/>
      </c>
      <c r="X15" s="6">
        <f>Calc_Base!Y48</f>
        <v/>
      </c>
      <c r="Y15" s="6">
        <f>Calc_Base!Z48</f>
        <v/>
      </c>
    </row>
    <row r="16">
      <c r="A16" t="inlineStr">
        <is>
          <t>בסיס - עברית+אנגלית</t>
        </is>
      </c>
      <c r="B16" s="6">
        <f>Calc_Base!C49</f>
        <v/>
      </c>
      <c r="C16" s="6">
        <f>Calc_Base!D49</f>
        <v/>
      </c>
      <c r="D16" s="6">
        <f>Calc_Base!E49</f>
        <v/>
      </c>
      <c r="E16" s="6">
        <f>Calc_Base!F49</f>
        <v/>
      </c>
      <c r="F16" s="6">
        <f>Calc_Base!G49</f>
        <v/>
      </c>
      <c r="G16" s="6">
        <f>Calc_Base!H49</f>
        <v/>
      </c>
      <c r="H16" s="6">
        <f>Calc_Base!I49</f>
        <v/>
      </c>
      <c r="I16" s="6">
        <f>Calc_Base!J49</f>
        <v/>
      </c>
      <c r="J16" s="6">
        <f>Calc_Base!K49</f>
        <v/>
      </c>
      <c r="K16" s="6">
        <f>Calc_Base!L49</f>
        <v/>
      </c>
      <c r="L16" s="6">
        <f>Calc_Base!M49</f>
        <v/>
      </c>
      <c r="M16" s="6">
        <f>Calc_Base!N49</f>
        <v/>
      </c>
      <c r="N16" s="6">
        <f>Calc_Base!O49</f>
        <v/>
      </c>
      <c r="O16" s="6">
        <f>Calc_Base!P49</f>
        <v/>
      </c>
      <c r="P16" s="6">
        <f>Calc_Base!Q49</f>
        <v/>
      </c>
      <c r="Q16" s="6">
        <f>Calc_Base!R49</f>
        <v/>
      </c>
      <c r="R16" s="6">
        <f>Calc_Base!S49</f>
        <v/>
      </c>
      <c r="S16" s="6">
        <f>Calc_Base!T49</f>
        <v/>
      </c>
      <c r="T16" s="6">
        <f>Calc_Base!U49</f>
        <v/>
      </c>
      <c r="U16" s="6">
        <f>Calc_Base!V49</f>
        <v/>
      </c>
      <c r="V16" s="6">
        <f>Calc_Base!W49</f>
        <v/>
      </c>
      <c r="W16" s="6">
        <f>Calc_Base!X49</f>
        <v/>
      </c>
      <c r="X16" s="6">
        <f>Calc_Base!Y49</f>
        <v/>
      </c>
      <c r="Y16" s="6">
        <f>Calc_Base!Z49</f>
        <v/>
      </c>
    </row>
    <row r="17">
      <c r="A17" t="inlineStr">
        <is>
          <t>אופטימי - עברית בלבד</t>
        </is>
      </c>
      <c r="B17" s="6">
        <f>Calc_Opt!C48</f>
        <v/>
      </c>
      <c r="C17" s="6">
        <f>Calc_Opt!D48</f>
        <v/>
      </c>
      <c r="D17" s="6">
        <f>Calc_Opt!E48</f>
        <v/>
      </c>
      <c r="E17" s="6">
        <f>Calc_Opt!F48</f>
        <v/>
      </c>
      <c r="F17" s="6">
        <f>Calc_Opt!G48</f>
        <v/>
      </c>
      <c r="G17" s="6">
        <f>Calc_Opt!H48</f>
        <v/>
      </c>
      <c r="H17" s="6">
        <f>Calc_Opt!I48</f>
        <v/>
      </c>
      <c r="I17" s="6">
        <f>Calc_Opt!J48</f>
        <v/>
      </c>
      <c r="J17" s="6">
        <f>Calc_Opt!K48</f>
        <v/>
      </c>
      <c r="K17" s="6">
        <f>Calc_Opt!L48</f>
        <v/>
      </c>
      <c r="L17" s="6">
        <f>Calc_Opt!M48</f>
        <v/>
      </c>
      <c r="M17" s="6">
        <f>Calc_Opt!N48</f>
        <v/>
      </c>
      <c r="N17" s="6">
        <f>Calc_Opt!O48</f>
        <v/>
      </c>
      <c r="O17" s="6">
        <f>Calc_Opt!P48</f>
        <v/>
      </c>
      <c r="P17" s="6">
        <f>Calc_Opt!Q48</f>
        <v/>
      </c>
      <c r="Q17" s="6">
        <f>Calc_Opt!R48</f>
        <v/>
      </c>
      <c r="R17" s="6">
        <f>Calc_Opt!S48</f>
        <v/>
      </c>
      <c r="S17" s="6">
        <f>Calc_Opt!T48</f>
        <v/>
      </c>
      <c r="T17" s="6">
        <f>Calc_Opt!U48</f>
        <v/>
      </c>
      <c r="U17" s="6">
        <f>Calc_Opt!V48</f>
        <v/>
      </c>
      <c r="V17" s="6">
        <f>Calc_Opt!W48</f>
        <v/>
      </c>
      <c r="W17" s="6">
        <f>Calc_Opt!X48</f>
        <v/>
      </c>
      <c r="X17" s="6">
        <f>Calc_Opt!Y48</f>
        <v/>
      </c>
      <c r="Y17" s="6">
        <f>Calc_Opt!Z48</f>
        <v/>
      </c>
    </row>
    <row r="18">
      <c r="A18" t="inlineStr">
        <is>
          <t>אופטימי - עברית+אנגלית</t>
        </is>
      </c>
      <c r="B18" s="6">
        <f>Calc_Opt!C49</f>
        <v/>
      </c>
      <c r="C18" s="6">
        <f>Calc_Opt!D49</f>
        <v/>
      </c>
      <c r="D18" s="6">
        <f>Calc_Opt!E49</f>
        <v/>
      </c>
      <c r="E18" s="6">
        <f>Calc_Opt!F49</f>
        <v/>
      </c>
      <c r="F18" s="6">
        <f>Calc_Opt!G49</f>
        <v/>
      </c>
      <c r="G18" s="6">
        <f>Calc_Opt!H49</f>
        <v/>
      </c>
      <c r="H18" s="6">
        <f>Calc_Opt!I49</f>
        <v/>
      </c>
      <c r="I18" s="6">
        <f>Calc_Opt!J49</f>
        <v/>
      </c>
      <c r="J18" s="6">
        <f>Calc_Opt!K49</f>
        <v/>
      </c>
      <c r="K18" s="6">
        <f>Calc_Opt!L49</f>
        <v/>
      </c>
      <c r="L18" s="6">
        <f>Calc_Opt!M49</f>
        <v/>
      </c>
      <c r="M18" s="6">
        <f>Calc_Opt!N49</f>
        <v/>
      </c>
      <c r="N18" s="6">
        <f>Calc_Opt!O49</f>
        <v/>
      </c>
      <c r="O18" s="6">
        <f>Calc_Opt!P49</f>
        <v/>
      </c>
      <c r="P18" s="6">
        <f>Calc_Opt!Q49</f>
        <v/>
      </c>
      <c r="Q18" s="6">
        <f>Calc_Opt!R49</f>
        <v/>
      </c>
      <c r="R18" s="6">
        <f>Calc_Opt!S49</f>
        <v/>
      </c>
      <c r="S18" s="6">
        <f>Calc_Opt!T49</f>
        <v/>
      </c>
      <c r="T18" s="6">
        <f>Calc_Opt!U49</f>
        <v/>
      </c>
      <c r="U18" s="6">
        <f>Calc_Opt!V49</f>
        <v/>
      </c>
      <c r="V18" s="6">
        <f>Calc_Opt!W49</f>
        <v/>
      </c>
      <c r="W18" s="6">
        <f>Calc_Opt!X49</f>
        <v/>
      </c>
      <c r="X18" s="6">
        <f>Calc_Opt!Y49</f>
        <v/>
      </c>
      <c r="Y18" s="6">
        <f>Calc_Opt!Z49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2" customWidth="1" min="3" max="3"/>
    <col width="30" customWidth="1" min="4" max="4"/>
  </cols>
  <sheetData>
    <row r="1">
      <c r="A1" s="1" t="inlineStr">
        <is>
          <t>חודש איזון - החודש הראשון שבו הנטו המצטבר &gt;= 0</t>
        </is>
      </c>
    </row>
    <row r="3">
      <c r="A3" s="3" t="inlineStr">
        <is>
          <t>תרחיש</t>
        </is>
      </c>
      <c r="B3" s="3" t="inlineStr">
        <is>
          <t>שפה</t>
        </is>
      </c>
      <c r="C3" s="3" t="inlineStr">
        <is>
          <t>איזון - מזומן בלבד</t>
        </is>
      </c>
      <c r="D3" s="3" t="inlineStr">
        <is>
          <t>איזון - כולל ערך זמן פיתוח (ממו)</t>
        </is>
      </c>
    </row>
    <row r="4">
      <c r="A4">
        <f>Scenarios!A4</f>
        <v/>
      </c>
      <c r="B4">
        <f>Scenarios!B4</f>
        <v/>
      </c>
      <c r="C4">
        <f>Scenarios!I4</f>
        <v/>
      </c>
      <c r="D4">
        <f>Scenarios!J4</f>
        <v/>
      </c>
    </row>
    <row r="5">
      <c r="A5">
        <f>Scenarios!A5</f>
        <v/>
      </c>
      <c r="B5">
        <f>Scenarios!B5</f>
        <v/>
      </c>
      <c r="C5">
        <f>Scenarios!I5</f>
        <v/>
      </c>
      <c r="D5">
        <f>Scenarios!J5</f>
        <v/>
      </c>
    </row>
    <row r="6">
      <c r="A6">
        <f>Scenarios!A6</f>
        <v/>
      </c>
      <c r="B6">
        <f>Scenarios!B6</f>
        <v/>
      </c>
      <c r="C6">
        <f>Scenarios!I6</f>
        <v/>
      </c>
      <c r="D6">
        <f>Scenarios!J6</f>
        <v/>
      </c>
    </row>
    <row r="7">
      <c r="A7">
        <f>Scenarios!A7</f>
        <v/>
      </c>
      <c r="B7">
        <f>Scenarios!B7</f>
        <v/>
      </c>
      <c r="C7">
        <f>Scenarios!I7</f>
        <v/>
      </c>
      <c r="D7">
        <f>Scenarios!J7</f>
        <v/>
      </c>
    </row>
    <row r="8">
      <c r="A8">
        <f>Scenarios!A8</f>
        <v/>
      </c>
      <c r="B8">
        <f>Scenarios!B8</f>
        <v/>
      </c>
      <c r="C8">
        <f>Scenarios!I8</f>
        <v/>
      </c>
      <c r="D8">
        <f>Scenarios!J8</f>
        <v/>
      </c>
    </row>
    <row r="9">
      <c r="A9">
        <f>Scenarios!A9</f>
        <v/>
      </c>
      <c r="B9">
        <f>Scenarios!B9</f>
        <v/>
      </c>
      <c r="C9">
        <f>Scenarios!I9</f>
        <v/>
      </c>
      <c r="D9">
        <f>Scenarios!J9</f>
        <v/>
      </c>
    </row>
    <row r="11">
      <c r="A11" s="1" t="inlineStr">
        <is>
          <t>התרחיש הפעיל (מתגים ב-Assumptions)</t>
        </is>
      </c>
    </row>
    <row r="12">
      <c r="A12" t="inlineStr">
        <is>
          <t>חודש איזון מזומן</t>
        </is>
      </c>
      <c r="C12">
        <f>INDEX(C4:C9,(Assumptions!C3-1)*2+Assumptions!C4)</f>
        <v/>
      </c>
    </row>
    <row r="13">
      <c r="A13" t="inlineStr">
        <is>
          <t>חודש איזון כולל זמן פיתוח</t>
        </is>
      </c>
      <c r="C13">
        <f>INDEX(D4:D9,(Assumptions!C3-1)*2+Assumptions!C4)</f>
        <v/>
      </c>
    </row>
    <row r="15">
      <c r="A15" t="inlineStr">
        <is>
          <t>הערה: זמן פיתוח הוא ממו בלבד ולא עלות מזומן. הנטו לפני מס הכנסה (עוסק פטור - לבדוק תקרה שנתית).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5"/>
  <sheetViews>
    <sheetView rightToLeft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</cols>
  <sheetData>
    <row r="1">
      <c r="A1" s="1" t="inlineStr">
        <is>
          <t>חישוב חודשי - תרחיש Calc_Pess</t>
        </is>
      </c>
    </row>
    <row r="3">
      <c r="A3" s="1" t="inlineStr">
        <is>
          <t>חודש</t>
        </is>
      </c>
      <c r="B3" t="inlineStr">
        <is>
          <t>סה"כ</t>
        </is>
      </c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  <c r="H3" s="3" t="n">
        <v>6</v>
      </c>
      <c r="I3" s="3" t="n">
        <v>7</v>
      </c>
      <c r="J3" s="3" t="n">
        <v>8</v>
      </c>
      <c r="K3" s="3" t="n">
        <v>9</v>
      </c>
      <c r="L3" s="3" t="n">
        <v>10</v>
      </c>
      <c r="M3" s="3" t="n">
        <v>11</v>
      </c>
      <c r="N3" s="3" t="n">
        <v>12</v>
      </c>
      <c r="O3" s="3" t="n">
        <v>13</v>
      </c>
      <c r="P3" s="3" t="n">
        <v>14</v>
      </c>
      <c r="Q3" s="3" t="n">
        <v>15</v>
      </c>
      <c r="R3" s="3" t="n">
        <v>16</v>
      </c>
      <c r="S3" s="3" t="n">
        <v>17</v>
      </c>
      <c r="T3" s="3" t="n">
        <v>18</v>
      </c>
      <c r="U3" s="3" t="n">
        <v>19</v>
      </c>
      <c r="V3" s="3" t="n">
        <v>20</v>
      </c>
      <c r="W3" s="3" t="n">
        <v>21</v>
      </c>
      <c r="X3" s="3" t="n">
        <v>22</v>
      </c>
      <c r="Y3" s="3" t="n">
        <v>23</v>
      </c>
      <c r="Z3" s="3" t="n">
        <v>24</v>
      </c>
    </row>
    <row r="4">
      <c r="A4" s="1" t="inlineStr">
        <is>
          <t>-- שוק עברית --</t>
        </is>
      </c>
    </row>
    <row r="5">
      <c r="A5" t="inlineStr">
        <is>
          <t>HE: התקנות אורגניות</t>
        </is>
      </c>
      <c r="B5" s="6">
        <f>SUM(C5:Z5)</f>
        <v/>
      </c>
      <c r="C5" s="7">
        <f>Assumptions!$C$28*(1+Assumptions!$C$29)^(C$3-1)</f>
        <v/>
      </c>
      <c r="D5" s="7">
        <f>Assumptions!$C$28*(1+Assumptions!$C$29)^(D$3-1)</f>
        <v/>
      </c>
      <c r="E5" s="7">
        <f>Assumptions!$C$28*(1+Assumptions!$C$29)^(E$3-1)</f>
        <v/>
      </c>
      <c r="F5" s="7">
        <f>Assumptions!$C$28*(1+Assumptions!$C$29)^(F$3-1)</f>
        <v/>
      </c>
      <c r="G5" s="7">
        <f>Assumptions!$C$28*(1+Assumptions!$C$29)^(G$3-1)</f>
        <v/>
      </c>
      <c r="H5" s="7">
        <f>Assumptions!$C$28*(1+Assumptions!$C$29)^(H$3-1)</f>
        <v/>
      </c>
      <c r="I5" s="7">
        <f>Assumptions!$C$28*(1+Assumptions!$C$29)^(I$3-1)</f>
        <v/>
      </c>
      <c r="J5" s="7">
        <f>Assumptions!$C$28*(1+Assumptions!$C$29)^(J$3-1)</f>
        <v/>
      </c>
      <c r="K5" s="7">
        <f>Assumptions!$C$28*(1+Assumptions!$C$29)^(K$3-1)</f>
        <v/>
      </c>
      <c r="L5" s="7">
        <f>Assumptions!$C$28*(1+Assumptions!$C$29)^(L$3-1)</f>
        <v/>
      </c>
      <c r="M5" s="7">
        <f>Assumptions!$C$28*(1+Assumptions!$C$29)^(M$3-1)</f>
        <v/>
      </c>
      <c r="N5" s="7">
        <f>Assumptions!$C$28*(1+Assumptions!$C$29)^(N$3-1)</f>
        <v/>
      </c>
      <c r="O5" s="7">
        <f>Assumptions!$C$28*(1+Assumptions!$C$29)^(O$3-1)</f>
        <v/>
      </c>
      <c r="P5" s="7">
        <f>Assumptions!$C$28*(1+Assumptions!$C$29)^(P$3-1)</f>
        <v/>
      </c>
      <c r="Q5" s="7">
        <f>Assumptions!$C$28*(1+Assumptions!$C$29)^(Q$3-1)</f>
        <v/>
      </c>
      <c r="R5" s="7">
        <f>Assumptions!$C$28*(1+Assumptions!$C$29)^(R$3-1)</f>
        <v/>
      </c>
      <c r="S5" s="7">
        <f>Assumptions!$C$28*(1+Assumptions!$C$29)^(S$3-1)</f>
        <v/>
      </c>
      <c r="T5" s="7">
        <f>Assumptions!$C$28*(1+Assumptions!$C$29)^(T$3-1)</f>
        <v/>
      </c>
      <c r="U5" s="7">
        <f>Assumptions!$C$28*(1+Assumptions!$C$29)^(U$3-1)</f>
        <v/>
      </c>
      <c r="V5" s="7">
        <f>Assumptions!$C$28*(1+Assumptions!$C$29)^(V$3-1)</f>
        <v/>
      </c>
      <c r="W5" s="7">
        <f>Assumptions!$C$28*(1+Assumptions!$C$29)^(W$3-1)</f>
        <v/>
      </c>
      <c r="X5" s="7">
        <f>Assumptions!$C$28*(1+Assumptions!$C$29)^(X$3-1)</f>
        <v/>
      </c>
      <c r="Y5" s="7">
        <f>Assumptions!$C$28*(1+Assumptions!$C$29)^(Y$3-1)</f>
        <v/>
      </c>
      <c r="Z5" s="7">
        <f>Assumptions!$C$28*(1+Assumptions!$C$29)^(Z$3-1)</f>
        <v/>
      </c>
    </row>
    <row r="6">
      <c r="A6" t="inlineStr">
        <is>
          <t>HE: הוצאת פרסום בתשלום (₪)</t>
        </is>
      </c>
      <c r="B6" s="6">
        <f>SUM(C6:Z6)</f>
        <v/>
      </c>
      <c r="C6" s="7">
        <f>IF(AND(C$3&gt;=Assumptions!$C$34,C$3&lt;=Assumptions!$C$35),Assumptions!$C$33,0)</f>
        <v/>
      </c>
      <c r="D6" s="7">
        <f>IF(AND(D$3&gt;=Assumptions!$C$34,D$3&lt;=Assumptions!$C$35),Assumptions!$C$33,0)</f>
        <v/>
      </c>
      <c r="E6" s="7">
        <f>IF(AND(E$3&gt;=Assumptions!$C$34,E$3&lt;=Assumptions!$C$35),Assumptions!$C$33,0)</f>
        <v/>
      </c>
      <c r="F6" s="7">
        <f>IF(AND(F$3&gt;=Assumptions!$C$34,F$3&lt;=Assumptions!$C$35),Assumptions!$C$33,0)</f>
        <v/>
      </c>
      <c r="G6" s="7">
        <f>IF(AND(G$3&gt;=Assumptions!$C$34,G$3&lt;=Assumptions!$C$35),Assumptions!$C$33,0)</f>
        <v/>
      </c>
      <c r="H6" s="7">
        <f>IF(AND(H$3&gt;=Assumptions!$C$34,H$3&lt;=Assumptions!$C$35),Assumptions!$C$33,0)</f>
        <v/>
      </c>
      <c r="I6" s="7">
        <f>IF(AND(I$3&gt;=Assumptions!$C$34,I$3&lt;=Assumptions!$C$35),Assumptions!$C$33,0)</f>
        <v/>
      </c>
      <c r="J6" s="7">
        <f>IF(AND(J$3&gt;=Assumptions!$C$34,J$3&lt;=Assumptions!$C$35),Assumptions!$C$33,0)</f>
        <v/>
      </c>
      <c r="K6" s="7">
        <f>IF(AND(K$3&gt;=Assumptions!$C$34,K$3&lt;=Assumptions!$C$35),Assumptions!$C$33,0)</f>
        <v/>
      </c>
      <c r="L6" s="7">
        <f>IF(AND(L$3&gt;=Assumptions!$C$34,L$3&lt;=Assumptions!$C$35),Assumptions!$C$33,0)</f>
        <v/>
      </c>
      <c r="M6" s="7">
        <f>IF(AND(M$3&gt;=Assumptions!$C$34,M$3&lt;=Assumptions!$C$35),Assumptions!$C$33,0)</f>
        <v/>
      </c>
      <c r="N6" s="7">
        <f>IF(AND(N$3&gt;=Assumptions!$C$34,N$3&lt;=Assumptions!$C$35),Assumptions!$C$33,0)</f>
        <v/>
      </c>
      <c r="O6" s="7">
        <f>IF(AND(O$3&gt;=Assumptions!$C$34,O$3&lt;=Assumptions!$C$35),Assumptions!$C$33,0)</f>
        <v/>
      </c>
      <c r="P6" s="7">
        <f>IF(AND(P$3&gt;=Assumptions!$C$34,P$3&lt;=Assumptions!$C$35),Assumptions!$C$33,0)</f>
        <v/>
      </c>
      <c r="Q6" s="7">
        <f>IF(AND(Q$3&gt;=Assumptions!$C$34,Q$3&lt;=Assumptions!$C$35),Assumptions!$C$33,0)</f>
        <v/>
      </c>
      <c r="R6" s="7">
        <f>IF(AND(R$3&gt;=Assumptions!$C$34,R$3&lt;=Assumptions!$C$35),Assumptions!$C$33,0)</f>
        <v/>
      </c>
      <c r="S6" s="7">
        <f>IF(AND(S$3&gt;=Assumptions!$C$34,S$3&lt;=Assumptions!$C$35),Assumptions!$C$33,0)</f>
        <v/>
      </c>
      <c r="T6" s="7">
        <f>IF(AND(T$3&gt;=Assumptions!$C$34,T$3&lt;=Assumptions!$C$35),Assumptions!$C$33,0)</f>
        <v/>
      </c>
      <c r="U6" s="7">
        <f>IF(AND(U$3&gt;=Assumptions!$C$34,U$3&lt;=Assumptions!$C$35),Assumptions!$C$33,0)</f>
        <v/>
      </c>
      <c r="V6" s="7">
        <f>IF(AND(V$3&gt;=Assumptions!$C$34,V$3&lt;=Assumptions!$C$35),Assumptions!$C$33,0)</f>
        <v/>
      </c>
      <c r="W6" s="7">
        <f>IF(AND(W$3&gt;=Assumptions!$C$34,W$3&lt;=Assumptions!$C$35),Assumptions!$C$33,0)</f>
        <v/>
      </c>
      <c r="X6" s="7">
        <f>IF(AND(X$3&gt;=Assumptions!$C$34,X$3&lt;=Assumptions!$C$35),Assumptions!$C$33,0)</f>
        <v/>
      </c>
      <c r="Y6" s="7">
        <f>IF(AND(Y$3&gt;=Assumptions!$C$34,Y$3&lt;=Assumptions!$C$35),Assumptions!$C$33,0)</f>
        <v/>
      </c>
      <c r="Z6" s="7">
        <f>IF(AND(Z$3&gt;=Assumptions!$C$34,Z$3&lt;=Assumptions!$C$35),Assumptions!$C$33,0)</f>
        <v/>
      </c>
    </row>
    <row r="7">
      <c r="A7" t="inlineStr">
        <is>
          <t>HE: התקנות מפרסום בתשלום</t>
        </is>
      </c>
      <c r="B7" s="6">
        <f>SUM(C7:Z7)</f>
        <v/>
      </c>
      <c r="C7" s="7">
        <f>C6/Assumptions!$C$32</f>
        <v/>
      </c>
      <c r="D7" s="7">
        <f>D6/Assumptions!$C$32</f>
        <v/>
      </c>
      <c r="E7" s="7">
        <f>E6/Assumptions!$C$32</f>
        <v/>
      </c>
      <c r="F7" s="7">
        <f>F6/Assumptions!$C$32</f>
        <v/>
      </c>
      <c r="G7" s="7">
        <f>G6/Assumptions!$C$32</f>
        <v/>
      </c>
      <c r="H7" s="7">
        <f>H6/Assumptions!$C$32</f>
        <v/>
      </c>
      <c r="I7" s="7">
        <f>I6/Assumptions!$C$32</f>
        <v/>
      </c>
      <c r="J7" s="7">
        <f>J6/Assumptions!$C$32</f>
        <v/>
      </c>
      <c r="K7" s="7">
        <f>K6/Assumptions!$C$32</f>
        <v/>
      </c>
      <c r="L7" s="7">
        <f>L6/Assumptions!$C$32</f>
        <v/>
      </c>
      <c r="M7" s="7">
        <f>M6/Assumptions!$C$32</f>
        <v/>
      </c>
      <c r="N7" s="7">
        <f>N6/Assumptions!$C$32</f>
        <v/>
      </c>
      <c r="O7" s="7">
        <f>O6/Assumptions!$C$32</f>
        <v/>
      </c>
      <c r="P7" s="7">
        <f>P6/Assumptions!$C$32</f>
        <v/>
      </c>
      <c r="Q7" s="7">
        <f>Q6/Assumptions!$C$32</f>
        <v/>
      </c>
      <c r="R7" s="7">
        <f>R6/Assumptions!$C$32</f>
        <v/>
      </c>
      <c r="S7" s="7">
        <f>S6/Assumptions!$C$32</f>
        <v/>
      </c>
      <c r="T7" s="7">
        <f>T6/Assumptions!$C$32</f>
        <v/>
      </c>
      <c r="U7" s="7">
        <f>U6/Assumptions!$C$32</f>
        <v/>
      </c>
      <c r="V7" s="7">
        <f>V6/Assumptions!$C$32</f>
        <v/>
      </c>
      <c r="W7" s="7">
        <f>W6/Assumptions!$C$32</f>
        <v/>
      </c>
      <c r="X7" s="7">
        <f>X6/Assumptions!$C$32</f>
        <v/>
      </c>
      <c r="Y7" s="7">
        <f>Y6/Assumptions!$C$32</f>
        <v/>
      </c>
      <c r="Z7" s="7">
        <f>Z6/Assumptions!$C$32</f>
        <v/>
      </c>
    </row>
    <row r="8">
      <c r="A8" t="inlineStr">
        <is>
          <t>HE: סה"כ התקנות</t>
        </is>
      </c>
      <c r="B8" s="6">
        <f>SUM(C8:Z8)</f>
        <v/>
      </c>
      <c r="C8" s="7">
        <f>C5+C7</f>
        <v/>
      </c>
      <c r="D8" s="7">
        <f>D5+D7</f>
        <v/>
      </c>
      <c r="E8" s="7">
        <f>E5+E7</f>
        <v/>
      </c>
      <c r="F8" s="7">
        <f>F5+F7</f>
        <v/>
      </c>
      <c r="G8" s="7">
        <f>G5+G7</f>
        <v/>
      </c>
      <c r="H8" s="7">
        <f>H5+H7</f>
        <v/>
      </c>
      <c r="I8" s="7">
        <f>I5+I7</f>
        <v/>
      </c>
      <c r="J8" s="7">
        <f>J5+J7</f>
        <v/>
      </c>
      <c r="K8" s="7">
        <f>K5+K7</f>
        <v/>
      </c>
      <c r="L8" s="7">
        <f>L5+L7</f>
        <v/>
      </c>
      <c r="M8" s="7">
        <f>M5+M7</f>
        <v/>
      </c>
      <c r="N8" s="7">
        <f>N5+N7</f>
        <v/>
      </c>
      <c r="O8" s="7">
        <f>O5+O7</f>
        <v/>
      </c>
      <c r="P8" s="7">
        <f>P5+P7</f>
        <v/>
      </c>
      <c r="Q8" s="7">
        <f>Q5+Q7</f>
        <v/>
      </c>
      <c r="R8" s="7">
        <f>R5+R7</f>
        <v/>
      </c>
      <c r="S8" s="7">
        <f>S5+S7</f>
        <v/>
      </c>
      <c r="T8" s="7">
        <f>T5+T7</f>
        <v/>
      </c>
      <c r="U8" s="7">
        <f>U5+U7</f>
        <v/>
      </c>
      <c r="V8" s="7">
        <f>V5+V7</f>
        <v/>
      </c>
      <c r="W8" s="7">
        <f>W5+W7</f>
        <v/>
      </c>
      <c r="X8" s="7">
        <f>X5+X7</f>
        <v/>
      </c>
      <c r="Y8" s="7">
        <f>Y5+Y7</f>
        <v/>
      </c>
      <c r="Z8" s="7">
        <f>Z5+Z7</f>
        <v/>
      </c>
    </row>
    <row r="9">
      <c r="A9" t="inlineStr">
        <is>
          <t>HE: שחקנים ותיקים (מחודש 2 ואילך, DAU)</t>
        </is>
      </c>
      <c r="B9" s="6" t="n"/>
      <c r="C9" s="7">
        <f>0</f>
        <v/>
      </c>
      <c r="D9" s="7">
        <f>Assumptions!$C$40*C9+C8*Assumptions!$C$39</f>
        <v/>
      </c>
      <c r="E9" s="7">
        <f>Assumptions!$C$40*D9+D8*Assumptions!$C$39</f>
        <v/>
      </c>
      <c r="F9" s="7">
        <f>Assumptions!$C$40*E9+E8*Assumptions!$C$39</f>
        <v/>
      </c>
      <c r="G9" s="7">
        <f>Assumptions!$C$40*F9+F8*Assumptions!$C$39</f>
        <v/>
      </c>
      <c r="H9" s="7">
        <f>Assumptions!$C$40*G9+G8*Assumptions!$C$39</f>
        <v/>
      </c>
      <c r="I9" s="7">
        <f>Assumptions!$C$40*H9+H8*Assumptions!$C$39</f>
        <v/>
      </c>
      <c r="J9" s="7">
        <f>Assumptions!$C$40*I9+I8*Assumptions!$C$39</f>
        <v/>
      </c>
      <c r="K9" s="7">
        <f>Assumptions!$C$40*J9+J8*Assumptions!$C$39</f>
        <v/>
      </c>
      <c r="L9" s="7">
        <f>Assumptions!$C$40*K9+K8*Assumptions!$C$39</f>
        <v/>
      </c>
      <c r="M9" s="7">
        <f>Assumptions!$C$40*L9+L8*Assumptions!$C$39</f>
        <v/>
      </c>
      <c r="N9" s="7">
        <f>Assumptions!$C$40*M9+M8*Assumptions!$C$39</f>
        <v/>
      </c>
      <c r="O9" s="7">
        <f>Assumptions!$C$40*N9+N8*Assumptions!$C$39</f>
        <v/>
      </c>
      <c r="P9" s="7">
        <f>Assumptions!$C$40*O9+O8*Assumptions!$C$39</f>
        <v/>
      </c>
      <c r="Q9" s="7">
        <f>Assumptions!$C$40*P9+P8*Assumptions!$C$39</f>
        <v/>
      </c>
      <c r="R9" s="7">
        <f>Assumptions!$C$40*Q9+Q8*Assumptions!$C$39</f>
        <v/>
      </c>
      <c r="S9" s="7">
        <f>Assumptions!$C$40*R9+R8*Assumptions!$C$39</f>
        <v/>
      </c>
      <c r="T9" s="7">
        <f>Assumptions!$C$40*S9+S8*Assumptions!$C$39</f>
        <v/>
      </c>
      <c r="U9" s="7">
        <f>Assumptions!$C$40*T9+T8*Assumptions!$C$39</f>
        <v/>
      </c>
      <c r="V9" s="7">
        <f>Assumptions!$C$40*U9+U8*Assumptions!$C$39</f>
        <v/>
      </c>
      <c r="W9" s="7">
        <f>Assumptions!$C$40*V9+V8*Assumptions!$C$39</f>
        <v/>
      </c>
      <c r="X9" s="7">
        <f>Assumptions!$C$40*W9+W8*Assumptions!$C$39</f>
        <v/>
      </c>
      <c r="Y9" s="7">
        <f>Assumptions!$C$40*X9+X8*Assumptions!$C$39</f>
        <v/>
      </c>
      <c r="Z9" s="7">
        <f>Assumptions!$C$40*Y9+Y8*Assumptions!$C$39</f>
        <v/>
      </c>
    </row>
    <row r="10">
      <c r="A10" t="inlineStr">
        <is>
          <t>HE: DAU ממוצע</t>
        </is>
      </c>
      <c r="B10" s="6" t="n"/>
      <c r="C10" s="7">
        <f>C8*((Assumptions!$C$37+Assumptions!$C$38+Assumptions!$C$39)/3)+C9</f>
        <v/>
      </c>
      <c r="D10" s="7">
        <f>D8*((Assumptions!$C$37+Assumptions!$C$38+Assumptions!$C$39)/3)+D9</f>
        <v/>
      </c>
      <c r="E10" s="7">
        <f>E8*((Assumptions!$C$37+Assumptions!$C$38+Assumptions!$C$39)/3)+E9</f>
        <v/>
      </c>
      <c r="F10" s="7">
        <f>F8*((Assumptions!$C$37+Assumptions!$C$38+Assumptions!$C$39)/3)+F9</f>
        <v/>
      </c>
      <c r="G10" s="7">
        <f>G8*((Assumptions!$C$37+Assumptions!$C$38+Assumptions!$C$39)/3)+G9</f>
        <v/>
      </c>
      <c r="H10" s="7">
        <f>H8*((Assumptions!$C$37+Assumptions!$C$38+Assumptions!$C$39)/3)+H9</f>
        <v/>
      </c>
      <c r="I10" s="7">
        <f>I8*((Assumptions!$C$37+Assumptions!$C$38+Assumptions!$C$39)/3)+I9</f>
        <v/>
      </c>
      <c r="J10" s="7">
        <f>J8*((Assumptions!$C$37+Assumptions!$C$38+Assumptions!$C$39)/3)+J9</f>
        <v/>
      </c>
      <c r="K10" s="7">
        <f>K8*((Assumptions!$C$37+Assumptions!$C$38+Assumptions!$C$39)/3)+K9</f>
        <v/>
      </c>
      <c r="L10" s="7">
        <f>L8*((Assumptions!$C$37+Assumptions!$C$38+Assumptions!$C$39)/3)+L9</f>
        <v/>
      </c>
      <c r="M10" s="7">
        <f>M8*((Assumptions!$C$37+Assumptions!$C$38+Assumptions!$C$39)/3)+M9</f>
        <v/>
      </c>
      <c r="N10" s="7">
        <f>N8*((Assumptions!$C$37+Assumptions!$C$38+Assumptions!$C$39)/3)+N9</f>
        <v/>
      </c>
      <c r="O10" s="7">
        <f>O8*((Assumptions!$C$37+Assumptions!$C$38+Assumptions!$C$39)/3)+O9</f>
        <v/>
      </c>
      <c r="P10" s="7">
        <f>P8*((Assumptions!$C$37+Assumptions!$C$38+Assumptions!$C$39)/3)+P9</f>
        <v/>
      </c>
      <c r="Q10" s="7">
        <f>Q8*((Assumptions!$C$37+Assumptions!$C$38+Assumptions!$C$39)/3)+Q9</f>
        <v/>
      </c>
      <c r="R10" s="7">
        <f>R8*((Assumptions!$C$37+Assumptions!$C$38+Assumptions!$C$39)/3)+R9</f>
        <v/>
      </c>
      <c r="S10" s="7">
        <f>S8*((Assumptions!$C$37+Assumptions!$C$38+Assumptions!$C$39)/3)+S9</f>
        <v/>
      </c>
      <c r="T10" s="7">
        <f>T8*((Assumptions!$C$37+Assumptions!$C$38+Assumptions!$C$39)/3)+T9</f>
        <v/>
      </c>
      <c r="U10" s="7">
        <f>U8*((Assumptions!$C$37+Assumptions!$C$38+Assumptions!$C$39)/3)+U9</f>
        <v/>
      </c>
      <c r="V10" s="7">
        <f>V8*((Assumptions!$C$37+Assumptions!$C$38+Assumptions!$C$39)/3)+V9</f>
        <v/>
      </c>
      <c r="W10" s="7">
        <f>W8*((Assumptions!$C$37+Assumptions!$C$38+Assumptions!$C$39)/3)+W9</f>
        <v/>
      </c>
      <c r="X10" s="7">
        <f>X8*((Assumptions!$C$37+Assumptions!$C$38+Assumptions!$C$39)/3)+X9</f>
        <v/>
      </c>
      <c r="Y10" s="7">
        <f>Y8*((Assumptions!$C$37+Assumptions!$C$38+Assumptions!$C$39)/3)+Y9</f>
        <v/>
      </c>
      <c r="Z10" s="7">
        <f>Z8*((Assumptions!$C$37+Assumptions!$C$38+Assumptions!$C$39)/3)+Z9</f>
        <v/>
      </c>
    </row>
    <row r="11">
      <c r="A11" t="inlineStr">
        <is>
          <t>HE: משחקים בחודש</t>
        </is>
      </c>
      <c r="B11" s="6">
        <f>SUM(C11:Z11)</f>
        <v/>
      </c>
      <c r="C11" s="7">
        <f>C10*Assumptions!$C$41*30</f>
        <v/>
      </c>
      <c r="D11" s="7">
        <f>D10*Assumptions!$C$41*30</f>
        <v/>
      </c>
      <c r="E11" s="7">
        <f>E10*Assumptions!$C$41*30</f>
        <v/>
      </c>
      <c r="F11" s="7">
        <f>F10*Assumptions!$C$41*30</f>
        <v/>
      </c>
      <c r="G11" s="7">
        <f>G10*Assumptions!$C$41*30</f>
        <v/>
      </c>
      <c r="H11" s="7">
        <f>H10*Assumptions!$C$41*30</f>
        <v/>
      </c>
      <c r="I11" s="7">
        <f>I10*Assumptions!$C$41*30</f>
        <v/>
      </c>
      <c r="J11" s="7">
        <f>J10*Assumptions!$C$41*30</f>
        <v/>
      </c>
      <c r="K11" s="7">
        <f>K10*Assumptions!$C$41*30</f>
        <v/>
      </c>
      <c r="L11" s="7">
        <f>L10*Assumptions!$C$41*30</f>
        <v/>
      </c>
      <c r="M11" s="7">
        <f>M10*Assumptions!$C$41*30</f>
        <v/>
      </c>
      <c r="N11" s="7">
        <f>N10*Assumptions!$C$41*30</f>
        <v/>
      </c>
      <c r="O11" s="7">
        <f>O10*Assumptions!$C$41*30</f>
        <v/>
      </c>
      <c r="P11" s="7">
        <f>P10*Assumptions!$C$41*30</f>
        <v/>
      </c>
      <c r="Q11" s="7">
        <f>Q10*Assumptions!$C$41*30</f>
        <v/>
      </c>
      <c r="R11" s="7">
        <f>R10*Assumptions!$C$41*30</f>
        <v/>
      </c>
      <c r="S11" s="7">
        <f>S10*Assumptions!$C$41*30</f>
        <v/>
      </c>
      <c r="T11" s="7">
        <f>T10*Assumptions!$C$41*30</f>
        <v/>
      </c>
      <c r="U11" s="7">
        <f>U10*Assumptions!$C$41*30</f>
        <v/>
      </c>
      <c r="V11" s="7">
        <f>V10*Assumptions!$C$41*30</f>
        <v/>
      </c>
      <c r="W11" s="7">
        <f>W10*Assumptions!$C$41*30</f>
        <v/>
      </c>
      <c r="X11" s="7">
        <f>X10*Assumptions!$C$41*30</f>
        <v/>
      </c>
      <c r="Y11" s="7">
        <f>Y10*Assumptions!$C$41*30</f>
        <v/>
      </c>
      <c r="Z11" s="7">
        <f>Z10*Assumptions!$C$41*30</f>
        <v/>
      </c>
    </row>
    <row r="12">
      <c r="A12" t="inlineStr">
        <is>
          <t>HE: חשיפות ביניים</t>
        </is>
      </c>
      <c r="B12" s="6">
        <f>SUM(C12:Z12)</f>
        <v/>
      </c>
      <c r="C12" s="7">
        <f>C11*Assumptions!$C$43*(1-Assumptions!$C$45)*(1-(Assumptions!$C$52*(Assumptions!$C$24+Assumptions!$C$26)))*Assumptions!$C$46</f>
        <v/>
      </c>
      <c r="D12" s="7">
        <f>D11*Assumptions!$C$43*(1-Assumptions!$C$45)*(1-(Assumptions!$C$52*(Assumptions!$C$24+Assumptions!$C$26)))*Assumptions!$C$46</f>
        <v/>
      </c>
      <c r="E12" s="7">
        <f>E11*Assumptions!$C$43*(1-Assumptions!$C$45)*(1-(Assumptions!$C$52*(Assumptions!$C$24+Assumptions!$C$26)))*Assumptions!$C$46</f>
        <v/>
      </c>
      <c r="F12" s="7">
        <f>F11*Assumptions!$C$43*(1-Assumptions!$C$45)*(1-(Assumptions!$C$52*(Assumptions!$C$24+Assumptions!$C$26)))*Assumptions!$C$46</f>
        <v/>
      </c>
      <c r="G12" s="7">
        <f>G11*Assumptions!$C$43*(1-Assumptions!$C$45)*(1-(Assumptions!$C$52*(Assumptions!$C$24+Assumptions!$C$26)))*Assumptions!$C$46</f>
        <v/>
      </c>
      <c r="H12" s="7">
        <f>H11*Assumptions!$C$43*(1-Assumptions!$C$45)*(1-(Assumptions!$C$52*(Assumptions!$C$24+Assumptions!$C$26)))*Assumptions!$C$46</f>
        <v/>
      </c>
      <c r="I12" s="7">
        <f>I11*Assumptions!$C$43*(1-Assumptions!$C$45)*(1-(Assumptions!$C$52*(Assumptions!$C$24+Assumptions!$C$26)))*Assumptions!$C$46</f>
        <v/>
      </c>
      <c r="J12" s="7">
        <f>J11*Assumptions!$C$43*(1-Assumptions!$C$45)*(1-(Assumptions!$C$52*(Assumptions!$C$24+Assumptions!$C$26)))*Assumptions!$C$46</f>
        <v/>
      </c>
      <c r="K12" s="7">
        <f>K11*Assumptions!$C$43*(1-Assumptions!$C$45)*(1-(Assumptions!$C$52*(Assumptions!$C$24+Assumptions!$C$26)))*Assumptions!$C$46</f>
        <v/>
      </c>
      <c r="L12" s="7">
        <f>L11*Assumptions!$C$43*(1-Assumptions!$C$45)*(1-(Assumptions!$C$52*(Assumptions!$C$24+Assumptions!$C$26)))*Assumptions!$C$46</f>
        <v/>
      </c>
      <c r="M12" s="7">
        <f>M11*Assumptions!$C$43*(1-Assumptions!$C$45)*(1-(Assumptions!$C$52*(Assumptions!$C$24+Assumptions!$C$26)))*Assumptions!$C$46</f>
        <v/>
      </c>
      <c r="N12" s="7">
        <f>N11*Assumptions!$C$43*(1-Assumptions!$C$45)*(1-(Assumptions!$C$52*(Assumptions!$C$24+Assumptions!$C$26)))*Assumptions!$C$46</f>
        <v/>
      </c>
      <c r="O12" s="7">
        <f>O11*Assumptions!$C$43*(1-Assumptions!$C$45)*(1-(Assumptions!$C$52*(Assumptions!$C$24+Assumptions!$C$26)))*Assumptions!$C$46</f>
        <v/>
      </c>
      <c r="P12" s="7">
        <f>P11*Assumptions!$C$43*(1-Assumptions!$C$45)*(1-(Assumptions!$C$52*(Assumptions!$C$24+Assumptions!$C$26)))*Assumptions!$C$46</f>
        <v/>
      </c>
      <c r="Q12" s="7">
        <f>Q11*Assumptions!$C$43*(1-Assumptions!$C$45)*(1-(Assumptions!$C$52*(Assumptions!$C$24+Assumptions!$C$26)))*Assumptions!$C$46</f>
        <v/>
      </c>
      <c r="R12" s="7">
        <f>R11*Assumptions!$C$43*(1-Assumptions!$C$45)*(1-(Assumptions!$C$52*(Assumptions!$C$24+Assumptions!$C$26)))*Assumptions!$C$46</f>
        <v/>
      </c>
      <c r="S12" s="7">
        <f>S11*Assumptions!$C$43*(1-Assumptions!$C$45)*(1-(Assumptions!$C$52*(Assumptions!$C$24+Assumptions!$C$26)))*Assumptions!$C$46</f>
        <v/>
      </c>
      <c r="T12" s="7">
        <f>T11*Assumptions!$C$43*(1-Assumptions!$C$45)*(1-(Assumptions!$C$52*(Assumptions!$C$24+Assumptions!$C$26)))*Assumptions!$C$46</f>
        <v/>
      </c>
      <c r="U12" s="7">
        <f>U11*Assumptions!$C$43*(1-Assumptions!$C$45)*(1-(Assumptions!$C$52*(Assumptions!$C$24+Assumptions!$C$26)))*Assumptions!$C$46</f>
        <v/>
      </c>
      <c r="V12" s="7">
        <f>V11*Assumptions!$C$43*(1-Assumptions!$C$45)*(1-(Assumptions!$C$52*(Assumptions!$C$24+Assumptions!$C$26)))*Assumptions!$C$46</f>
        <v/>
      </c>
      <c r="W12" s="7">
        <f>W11*Assumptions!$C$43*(1-Assumptions!$C$45)*(1-(Assumptions!$C$52*(Assumptions!$C$24+Assumptions!$C$26)))*Assumptions!$C$46</f>
        <v/>
      </c>
      <c r="X12" s="7">
        <f>X11*Assumptions!$C$43*(1-Assumptions!$C$45)*(1-(Assumptions!$C$52*(Assumptions!$C$24+Assumptions!$C$26)))*Assumptions!$C$46</f>
        <v/>
      </c>
      <c r="Y12" s="7">
        <f>Y11*Assumptions!$C$43*(1-Assumptions!$C$45)*(1-(Assumptions!$C$52*(Assumptions!$C$24+Assumptions!$C$26)))*Assumptions!$C$46</f>
        <v/>
      </c>
      <c r="Z12" s="7">
        <f>Z11*Assumptions!$C$43*(1-Assumptions!$C$45)*(1-(Assumptions!$C$52*(Assumptions!$C$24+Assumptions!$C$26)))*Assumptions!$C$46</f>
        <v/>
      </c>
    </row>
    <row r="13">
      <c r="A13" t="inlineStr">
        <is>
          <t>HE: חשיפות מתוגמלות</t>
        </is>
      </c>
      <c r="B13" s="6">
        <f>SUM(C13:Z13)</f>
        <v/>
      </c>
      <c r="C13" s="7">
        <f>C11*Assumptions!$C$44*Assumptions!$C$46</f>
        <v/>
      </c>
      <c r="D13" s="7">
        <f>D11*Assumptions!$C$44*Assumptions!$C$46</f>
        <v/>
      </c>
      <c r="E13" s="7">
        <f>E11*Assumptions!$C$44*Assumptions!$C$46</f>
        <v/>
      </c>
      <c r="F13" s="7">
        <f>F11*Assumptions!$C$44*Assumptions!$C$46</f>
        <v/>
      </c>
      <c r="G13" s="7">
        <f>G11*Assumptions!$C$44*Assumptions!$C$46</f>
        <v/>
      </c>
      <c r="H13" s="7">
        <f>H11*Assumptions!$C$44*Assumptions!$C$46</f>
        <v/>
      </c>
      <c r="I13" s="7">
        <f>I11*Assumptions!$C$44*Assumptions!$C$46</f>
        <v/>
      </c>
      <c r="J13" s="7">
        <f>J11*Assumptions!$C$44*Assumptions!$C$46</f>
        <v/>
      </c>
      <c r="K13" s="7">
        <f>K11*Assumptions!$C$44*Assumptions!$C$46</f>
        <v/>
      </c>
      <c r="L13" s="7">
        <f>L11*Assumptions!$C$44*Assumptions!$C$46</f>
        <v/>
      </c>
      <c r="M13" s="7">
        <f>M11*Assumptions!$C$44*Assumptions!$C$46</f>
        <v/>
      </c>
      <c r="N13" s="7">
        <f>N11*Assumptions!$C$44*Assumptions!$C$46</f>
        <v/>
      </c>
      <c r="O13" s="7">
        <f>O11*Assumptions!$C$44*Assumptions!$C$46</f>
        <v/>
      </c>
      <c r="P13" s="7">
        <f>P11*Assumptions!$C$44*Assumptions!$C$46</f>
        <v/>
      </c>
      <c r="Q13" s="7">
        <f>Q11*Assumptions!$C$44*Assumptions!$C$46</f>
        <v/>
      </c>
      <c r="R13" s="7">
        <f>R11*Assumptions!$C$44*Assumptions!$C$46</f>
        <v/>
      </c>
      <c r="S13" s="7">
        <f>S11*Assumptions!$C$44*Assumptions!$C$46</f>
        <v/>
      </c>
      <c r="T13" s="7">
        <f>T11*Assumptions!$C$44*Assumptions!$C$46</f>
        <v/>
      </c>
      <c r="U13" s="7">
        <f>U11*Assumptions!$C$44*Assumptions!$C$46</f>
        <v/>
      </c>
      <c r="V13" s="7">
        <f>V11*Assumptions!$C$44*Assumptions!$C$46</f>
        <v/>
      </c>
      <c r="W13" s="7">
        <f>W11*Assumptions!$C$44*Assumptions!$C$46</f>
        <v/>
      </c>
      <c r="X13" s="7">
        <f>X11*Assumptions!$C$44*Assumptions!$C$46</f>
        <v/>
      </c>
      <c r="Y13" s="7">
        <f>Y11*Assumptions!$C$44*Assumptions!$C$46</f>
        <v/>
      </c>
      <c r="Z13" s="7">
        <f>Z11*Assumptions!$C$44*Assumptions!$C$46</f>
        <v/>
      </c>
    </row>
    <row r="14">
      <c r="A14" t="inlineStr">
        <is>
          <t>HE: הכנסת פרסום ($)</t>
        </is>
      </c>
      <c r="B14" s="6">
        <f>SUM(C14:Z14)</f>
        <v/>
      </c>
      <c r="C14" s="7">
        <f>(C12*Assumptions!$C$48+C13*Assumptions!$C$47)/1000</f>
        <v/>
      </c>
      <c r="D14" s="7">
        <f>(D12*Assumptions!$C$48+D13*Assumptions!$C$47)/1000</f>
        <v/>
      </c>
      <c r="E14" s="7">
        <f>(E12*Assumptions!$C$48+E13*Assumptions!$C$47)/1000</f>
        <v/>
      </c>
      <c r="F14" s="7">
        <f>(F12*Assumptions!$C$48+F13*Assumptions!$C$47)/1000</f>
        <v/>
      </c>
      <c r="G14" s="7">
        <f>(G12*Assumptions!$C$48+G13*Assumptions!$C$47)/1000</f>
        <v/>
      </c>
      <c r="H14" s="7">
        <f>(H12*Assumptions!$C$48+H13*Assumptions!$C$47)/1000</f>
        <v/>
      </c>
      <c r="I14" s="7">
        <f>(I12*Assumptions!$C$48+I13*Assumptions!$C$47)/1000</f>
        <v/>
      </c>
      <c r="J14" s="7">
        <f>(J12*Assumptions!$C$48+J13*Assumptions!$C$47)/1000</f>
        <v/>
      </c>
      <c r="K14" s="7">
        <f>(K12*Assumptions!$C$48+K13*Assumptions!$C$47)/1000</f>
        <v/>
      </c>
      <c r="L14" s="7">
        <f>(L12*Assumptions!$C$48+L13*Assumptions!$C$47)/1000</f>
        <v/>
      </c>
      <c r="M14" s="7">
        <f>(M12*Assumptions!$C$48+M13*Assumptions!$C$47)/1000</f>
        <v/>
      </c>
      <c r="N14" s="7">
        <f>(N12*Assumptions!$C$48+N13*Assumptions!$C$47)/1000</f>
        <v/>
      </c>
      <c r="O14" s="7">
        <f>(O12*Assumptions!$C$48+O13*Assumptions!$C$47)/1000</f>
        <v/>
      </c>
      <c r="P14" s="7">
        <f>(P12*Assumptions!$C$48+P13*Assumptions!$C$47)/1000</f>
        <v/>
      </c>
      <c r="Q14" s="7">
        <f>(Q12*Assumptions!$C$48+Q13*Assumptions!$C$47)/1000</f>
        <v/>
      </c>
      <c r="R14" s="7">
        <f>(R12*Assumptions!$C$48+R13*Assumptions!$C$47)/1000</f>
        <v/>
      </c>
      <c r="S14" s="7">
        <f>(S12*Assumptions!$C$48+S13*Assumptions!$C$47)/1000</f>
        <v/>
      </c>
      <c r="T14" s="7">
        <f>(T12*Assumptions!$C$48+T13*Assumptions!$C$47)/1000</f>
        <v/>
      </c>
      <c r="U14" s="7">
        <f>(U12*Assumptions!$C$48+U13*Assumptions!$C$47)/1000</f>
        <v/>
      </c>
      <c r="V14" s="7">
        <f>(V12*Assumptions!$C$48+V13*Assumptions!$C$47)/1000</f>
        <v/>
      </c>
      <c r="W14" s="7">
        <f>(W12*Assumptions!$C$48+W13*Assumptions!$C$47)/1000</f>
        <v/>
      </c>
      <c r="X14" s="7">
        <f>(X12*Assumptions!$C$48+X13*Assumptions!$C$47)/1000</f>
        <v/>
      </c>
      <c r="Y14" s="7">
        <f>(Y12*Assumptions!$C$48+Y13*Assumptions!$C$47)/1000</f>
        <v/>
      </c>
      <c r="Z14" s="7">
        <f>(Z12*Assumptions!$C$48+Z13*Assumptions!$C$47)/1000</f>
        <v/>
      </c>
    </row>
    <row r="15">
      <c r="A15" t="inlineStr">
        <is>
          <t>HE: הכנסת פרסום (₪)</t>
        </is>
      </c>
      <c r="B15" s="6">
        <f>SUM(C15:Z15)</f>
        <v/>
      </c>
      <c r="C15" s="7">
        <f>C14*Assumptions!$C$22</f>
        <v/>
      </c>
      <c r="D15" s="7">
        <f>D14*Assumptions!$C$22</f>
        <v/>
      </c>
      <c r="E15" s="7">
        <f>E14*Assumptions!$C$22</f>
        <v/>
      </c>
      <c r="F15" s="7">
        <f>F14*Assumptions!$C$22</f>
        <v/>
      </c>
      <c r="G15" s="7">
        <f>G14*Assumptions!$C$22</f>
        <v/>
      </c>
      <c r="H15" s="7">
        <f>H14*Assumptions!$C$22</f>
        <v/>
      </c>
      <c r="I15" s="7">
        <f>I14*Assumptions!$C$22</f>
        <v/>
      </c>
      <c r="J15" s="7">
        <f>J14*Assumptions!$C$22</f>
        <v/>
      </c>
      <c r="K15" s="7">
        <f>K14*Assumptions!$C$22</f>
        <v/>
      </c>
      <c r="L15" s="7">
        <f>L14*Assumptions!$C$22</f>
        <v/>
      </c>
      <c r="M15" s="7">
        <f>M14*Assumptions!$C$22</f>
        <v/>
      </c>
      <c r="N15" s="7">
        <f>N14*Assumptions!$C$22</f>
        <v/>
      </c>
      <c r="O15" s="7">
        <f>O14*Assumptions!$C$22</f>
        <v/>
      </c>
      <c r="P15" s="7">
        <f>P14*Assumptions!$C$22</f>
        <v/>
      </c>
      <c r="Q15" s="7">
        <f>Q14*Assumptions!$C$22</f>
        <v/>
      </c>
      <c r="R15" s="7">
        <f>R14*Assumptions!$C$22</f>
        <v/>
      </c>
      <c r="S15" s="7">
        <f>S14*Assumptions!$C$22</f>
        <v/>
      </c>
      <c r="T15" s="7">
        <f>T14*Assumptions!$C$22</f>
        <v/>
      </c>
      <c r="U15" s="7">
        <f>U14*Assumptions!$C$22</f>
        <v/>
      </c>
      <c r="V15" s="7">
        <f>V14*Assumptions!$C$22</f>
        <v/>
      </c>
      <c r="W15" s="7">
        <f>W14*Assumptions!$C$22</f>
        <v/>
      </c>
      <c r="X15" s="7">
        <f>X14*Assumptions!$C$22</f>
        <v/>
      </c>
      <c r="Y15" s="7">
        <f>Y14*Assumptions!$C$22</f>
        <v/>
      </c>
      <c r="Z15" s="7">
        <f>Z14*Assumptions!$C$22</f>
        <v/>
      </c>
    </row>
    <row r="16">
      <c r="A16" t="inlineStr">
        <is>
          <t>HE: רוכשי IAP</t>
        </is>
      </c>
      <c r="B16" s="6">
        <f>SUM(C16:Z16)</f>
        <v/>
      </c>
      <c r="C16" s="7">
        <f>C8*Assumptions!$C$52</f>
        <v/>
      </c>
      <c r="D16" s="7">
        <f>D8*Assumptions!$C$52</f>
        <v/>
      </c>
      <c r="E16" s="7">
        <f>E8*Assumptions!$C$52</f>
        <v/>
      </c>
      <c r="F16" s="7">
        <f>F8*Assumptions!$C$52</f>
        <v/>
      </c>
      <c r="G16" s="7">
        <f>G8*Assumptions!$C$52</f>
        <v/>
      </c>
      <c r="H16" s="7">
        <f>H8*Assumptions!$C$52</f>
        <v/>
      </c>
      <c r="I16" s="7">
        <f>I8*Assumptions!$C$52</f>
        <v/>
      </c>
      <c r="J16" s="7">
        <f>J8*Assumptions!$C$52</f>
        <v/>
      </c>
      <c r="K16" s="7">
        <f>K8*Assumptions!$C$52</f>
        <v/>
      </c>
      <c r="L16" s="7">
        <f>L8*Assumptions!$C$52</f>
        <v/>
      </c>
      <c r="M16" s="7">
        <f>M8*Assumptions!$C$52</f>
        <v/>
      </c>
      <c r="N16" s="7">
        <f>N8*Assumptions!$C$52</f>
        <v/>
      </c>
      <c r="O16" s="7">
        <f>O8*Assumptions!$C$52</f>
        <v/>
      </c>
      <c r="P16" s="7">
        <f>P8*Assumptions!$C$52</f>
        <v/>
      </c>
      <c r="Q16" s="7">
        <f>Q8*Assumptions!$C$52</f>
        <v/>
      </c>
      <c r="R16" s="7">
        <f>R8*Assumptions!$C$52</f>
        <v/>
      </c>
      <c r="S16" s="7">
        <f>S8*Assumptions!$C$52</f>
        <v/>
      </c>
      <c r="T16" s="7">
        <f>T8*Assumptions!$C$52</f>
        <v/>
      </c>
      <c r="U16" s="7">
        <f>U8*Assumptions!$C$52</f>
        <v/>
      </c>
      <c r="V16" s="7">
        <f>V8*Assumptions!$C$52</f>
        <v/>
      </c>
      <c r="W16" s="7">
        <f>W8*Assumptions!$C$52</f>
        <v/>
      </c>
      <c r="X16" s="7">
        <f>X8*Assumptions!$C$52</f>
        <v/>
      </c>
      <c r="Y16" s="7">
        <f>Y8*Assumptions!$C$52</f>
        <v/>
      </c>
      <c r="Z16" s="7">
        <f>Z8*Assumptions!$C$52</f>
        <v/>
      </c>
    </row>
    <row r="17">
      <c r="A17" t="inlineStr">
        <is>
          <t>HE: IAP ברוטו (₪, מחיר צרכן)</t>
        </is>
      </c>
      <c r="B17" s="6">
        <f>SUM(C17:Z17)</f>
        <v/>
      </c>
      <c r="C17" s="7">
        <f>C16*(Assumptions!$C$24*Assumptions!$C$9+Assumptions!$C$25*Assumptions!$C$10+Assumptions!$C$26*Assumptions!$C$11)</f>
        <v/>
      </c>
      <c r="D17" s="7">
        <f>D16*(Assumptions!$C$24*Assumptions!$C$9+Assumptions!$C$25*Assumptions!$C$10+Assumptions!$C$26*Assumptions!$C$11)</f>
        <v/>
      </c>
      <c r="E17" s="7">
        <f>E16*(Assumptions!$C$24*Assumptions!$C$9+Assumptions!$C$25*Assumptions!$C$10+Assumptions!$C$26*Assumptions!$C$11)</f>
        <v/>
      </c>
      <c r="F17" s="7">
        <f>F16*(Assumptions!$C$24*Assumptions!$C$9+Assumptions!$C$25*Assumptions!$C$10+Assumptions!$C$26*Assumptions!$C$11)</f>
        <v/>
      </c>
      <c r="G17" s="7">
        <f>G16*(Assumptions!$C$24*Assumptions!$C$9+Assumptions!$C$25*Assumptions!$C$10+Assumptions!$C$26*Assumptions!$C$11)</f>
        <v/>
      </c>
      <c r="H17" s="7">
        <f>H16*(Assumptions!$C$24*Assumptions!$C$9+Assumptions!$C$25*Assumptions!$C$10+Assumptions!$C$26*Assumptions!$C$11)</f>
        <v/>
      </c>
      <c r="I17" s="7">
        <f>I16*(Assumptions!$C$24*Assumptions!$C$9+Assumptions!$C$25*Assumptions!$C$10+Assumptions!$C$26*Assumptions!$C$11)</f>
        <v/>
      </c>
      <c r="J17" s="7">
        <f>J16*(Assumptions!$C$24*Assumptions!$C$9+Assumptions!$C$25*Assumptions!$C$10+Assumptions!$C$26*Assumptions!$C$11)</f>
        <v/>
      </c>
      <c r="K17" s="7">
        <f>K16*(Assumptions!$C$24*Assumptions!$C$9+Assumptions!$C$25*Assumptions!$C$10+Assumptions!$C$26*Assumptions!$C$11)</f>
        <v/>
      </c>
      <c r="L17" s="7">
        <f>L16*(Assumptions!$C$24*Assumptions!$C$9+Assumptions!$C$25*Assumptions!$C$10+Assumptions!$C$26*Assumptions!$C$11)</f>
        <v/>
      </c>
      <c r="M17" s="7">
        <f>M16*(Assumptions!$C$24*Assumptions!$C$9+Assumptions!$C$25*Assumptions!$C$10+Assumptions!$C$26*Assumptions!$C$11)</f>
        <v/>
      </c>
      <c r="N17" s="7">
        <f>N16*(Assumptions!$C$24*Assumptions!$C$9+Assumptions!$C$25*Assumptions!$C$10+Assumptions!$C$26*Assumptions!$C$11)</f>
        <v/>
      </c>
      <c r="O17" s="7">
        <f>O16*(Assumptions!$C$24*Assumptions!$C$9+Assumptions!$C$25*Assumptions!$C$10+Assumptions!$C$26*Assumptions!$C$11)</f>
        <v/>
      </c>
      <c r="P17" s="7">
        <f>P16*(Assumptions!$C$24*Assumptions!$C$9+Assumptions!$C$25*Assumptions!$C$10+Assumptions!$C$26*Assumptions!$C$11)</f>
        <v/>
      </c>
      <c r="Q17" s="7">
        <f>Q16*(Assumptions!$C$24*Assumptions!$C$9+Assumptions!$C$25*Assumptions!$C$10+Assumptions!$C$26*Assumptions!$C$11)</f>
        <v/>
      </c>
      <c r="R17" s="7">
        <f>R16*(Assumptions!$C$24*Assumptions!$C$9+Assumptions!$C$25*Assumptions!$C$10+Assumptions!$C$26*Assumptions!$C$11)</f>
        <v/>
      </c>
      <c r="S17" s="7">
        <f>S16*(Assumptions!$C$24*Assumptions!$C$9+Assumptions!$C$25*Assumptions!$C$10+Assumptions!$C$26*Assumptions!$C$11)</f>
        <v/>
      </c>
      <c r="T17" s="7">
        <f>T16*(Assumptions!$C$24*Assumptions!$C$9+Assumptions!$C$25*Assumptions!$C$10+Assumptions!$C$26*Assumptions!$C$11)</f>
        <v/>
      </c>
      <c r="U17" s="7">
        <f>U16*(Assumptions!$C$24*Assumptions!$C$9+Assumptions!$C$25*Assumptions!$C$10+Assumptions!$C$26*Assumptions!$C$11)</f>
        <v/>
      </c>
      <c r="V17" s="7">
        <f>V16*(Assumptions!$C$24*Assumptions!$C$9+Assumptions!$C$25*Assumptions!$C$10+Assumptions!$C$26*Assumptions!$C$11)</f>
        <v/>
      </c>
      <c r="W17" s="7">
        <f>W16*(Assumptions!$C$24*Assumptions!$C$9+Assumptions!$C$25*Assumptions!$C$10+Assumptions!$C$26*Assumptions!$C$11)</f>
        <v/>
      </c>
      <c r="X17" s="7">
        <f>X16*(Assumptions!$C$24*Assumptions!$C$9+Assumptions!$C$25*Assumptions!$C$10+Assumptions!$C$26*Assumptions!$C$11)</f>
        <v/>
      </c>
      <c r="Y17" s="7">
        <f>Y16*(Assumptions!$C$24*Assumptions!$C$9+Assumptions!$C$25*Assumptions!$C$10+Assumptions!$C$26*Assumptions!$C$11)</f>
        <v/>
      </c>
      <c r="Z17" s="7">
        <f>Z16*(Assumptions!$C$24*Assumptions!$C$9+Assumptions!$C$25*Assumptions!$C$10+Assumptions!$C$26*Assumptions!$C$11)</f>
        <v/>
      </c>
    </row>
    <row r="18">
      <c r="A18" t="inlineStr">
        <is>
          <t>HE: IAP נטו אחרי מסים ועמלת חנות (₪)</t>
        </is>
      </c>
      <c r="B18" s="6">
        <f>SUM(C18:Z18)</f>
        <v/>
      </c>
      <c r="C18" s="7">
        <f>C17/(1+Assumptions!$C$20)*(1-Assumptions!$C$19)</f>
        <v/>
      </c>
      <c r="D18" s="7">
        <f>D17/(1+Assumptions!$C$20)*(1-Assumptions!$C$19)</f>
        <v/>
      </c>
      <c r="E18" s="7">
        <f>E17/(1+Assumptions!$C$20)*(1-Assumptions!$C$19)</f>
        <v/>
      </c>
      <c r="F18" s="7">
        <f>F17/(1+Assumptions!$C$20)*(1-Assumptions!$C$19)</f>
        <v/>
      </c>
      <c r="G18" s="7">
        <f>G17/(1+Assumptions!$C$20)*(1-Assumptions!$C$19)</f>
        <v/>
      </c>
      <c r="H18" s="7">
        <f>H17/(1+Assumptions!$C$20)*(1-Assumptions!$C$19)</f>
        <v/>
      </c>
      <c r="I18" s="7">
        <f>I17/(1+Assumptions!$C$20)*(1-Assumptions!$C$19)</f>
        <v/>
      </c>
      <c r="J18" s="7">
        <f>J17/(1+Assumptions!$C$20)*(1-Assumptions!$C$19)</f>
        <v/>
      </c>
      <c r="K18" s="7">
        <f>K17/(1+Assumptions!$C$20)*(1-Assumptions!$C$19)</f>
        <v/>
      </c>
      <c r="L18" s="7">
        <f>L17/(1+Assumptions!$C$20)*(1-Assumptions!$C$19)</f>
        <v/>
      </c>
      <c r="M18" s="7">
        <f>M17/(1+Assumptions!$C$20)*(1-Assumptions!$C$19)</f>
        <v/>
      </c>
      <c r="N18" s="7">
        <f>N17/(1+Assumptions!$C$20)*(1-Assumptions!$C$19)</f>
        <v/>
      </c>
      <c r="O18" s="7">
        <f>O17/(1+Assumptions!$C$20)*(1-Assumptions!$C$19)</f>
        <v/>
      </c>
      <c r="P18" s="7">
        <f>P17/(1+Assumptions!$C$20)*(1-Assumptions!$C$19)</f>
        <v/>
      </c>
      <c r="Q18" s="7">
        <f>Q17/(1+Assumptions!$C$20)*(1-Assumptions!$C$19)</f>
        <v/>
      </c>
      <c r="R18" s="7">
        <f>R17/(1+Assumptions!$C$20)*(1-Assumptions!$C$19)</f>
        <v/>
      </c>
      <c r="S18" s="7">
        <f>S17/(1+Assumptions!$C$20)*(1-Assumptions!$C$19)</f>
        <v/>
      </c>
      <c r="T18" s="7">
        <f>T17/(1+Assumptions!$C$20)*(1-Assumptions!$C$19)</f>
        <v/>
      </c>
      <c r="U18" s="7">
        <f>U17/(1+Assumptions!$C$20)*(1-Assumptions!$C$19)</f>
        <v/>
      </c>
      <c r="V18" s="7">
        <f>V17/(1+Assumptions!$C$20)*(1-Assumptions!$C$19)</f>
        <v/>
      </c>
      <c r="W18" s="7">
        <f>W17/(1+Assumptions!$C$20)*(1-Assumptions!$C$19)</f>
        <v/>
      </c>
      <c r="X18" s="7">
        <f>X17/(1+Assumptions!$C$20)*(1-Assumptions!$C$19)</f>
        <v/>
      </c>
      <c r="Y18" s="7">
        <f>Y17/(1+Assumptions!$C$20)*(1-Assumptions!$C$19)</f>
        <v/>
      </c>
      <c r="Z18" s="7">
        <f>Z17/(1+Assumptions!$C$20)*(1-Assumptions!$C$19)</f>
        <v/>
      </c>
    </row>
    <row r="19">
      <c r="A19" s="1" t="inlineStr">
        <is>
          <t>-- B2B (ישראל, לפני מע"מ, ללא עמלת חנות) --</t>
        </is>
      </c>
    </row>
    <row r="20">
      <c r="A20" t="inlineStr">
        <is>
          <t>B2B: הכנסה ממכירות חדשות (₪)</t>
        </is>
      </c>
      <c r="B20" s="6">
        <f>SUM(C20:Z20)</f>
        <v/>
      </c>
      <c r="C20" s="7">
        <f>IF(C$3&gt;=Assumptions!$C$54,Assumptions!$C$55*Assumptions!$C$16+Assumptions!$C$56*Assumptions!$C$15+Assumptions!$C$57*Assumptions!$C$17,0)</f>
        <v/>
      </c>
      <c r="D20" s="7">
        <f>IF(D$3&gt;=Assumptions!$C$54,Assumptions!$C$55*Assumptions!$C$16+Assumptions!$C$56*Assumptions!$C$15+Assumptions!$C$57*Assumptions!$C$17,0)</f>
        <v/>
      </c>
      <c r="E20" s="7">
        <f>IF(E$3&gt;=Assumptions!$C$54,Assumptions!$C$55*Assumptions!$C$16+Assumptions!$C$56*Assumptions!$C$15+Assumptions!$C$57*Assumptions!$C$17,0)</f>
        <v/>
      </c>
      <c r="F20" s="7">
        <f>IF(F$3&gt;=Assumptions!$C$54,Assumptions!$C$55*Assumptions!$C$16+Assumptions!$C$56*Assumptions!$C$15+Assumptions!$C$57*Assumptions!$C$17,0)</f>
        <v/>
      </c>
      <c r="G20" s="7">
        <f>IF(G$3&gt;=Assumptions!$C$54,Assumptions!$C$55*Assumptions!$C$16+Assumptions!$C$56*Assumptions!$C$15+Assumptions!$C$57*Assumptions!$C$17,0)</f>
        <v/>
      </c>
      <c r="H20" s="7">
        <f>IF(H$3&gt;=Assumptions!$C$54,Assumptions!$C$55*Assumptions!$C$16+Assumptions!$C$56*Assumptions!$C$15+Assumptions!$C$57*Assumptions!$C$17,0)</f>
        <v/>
      </c>
      <c r="I20" s="7">
        <f>IF(I$3&gt;=Assumptions!$C$54,Assumptions!$C$55*Assumptions!$C$16+Assumptions!$C$56*Assumptions!$C$15+Assumptions!$C$57*Assumptions!$C$17,0)</f>
        <v/>
      </c>
      <c r="J20" s="7">
        <f>IF(J$3&gt;=Assumptions!$C$54,Assumptions!$C$55*Assumptions!$C$16+Assumptions!$C$56*Assumptions!$C$15+Assumptions!$C$57*Assumptions!$C$17,0)</f>
        <v/>
      </c>
      <c r="K20" s="7">
        <f>IF(K$3&gt;=Assumptions!$C$54,Assumptions!$C$55*Assumptions!$C$16+Assumptions!$C$56*Assumptions!$C$15+Assumptions!$C$57*Assumptions!$C$17,0)</f>
        <v/>
      </c>
      <c r="L20" s="7">
        <f>IF(L$3&gt;=Assumptions!$C$54,Assumptions!$C$55*Assumptions!$C$16+Assumptions!$C$56*Assumptions!$C$15+Assumptions!$C$57*Assumptions!$C$17,0)</f>
        <v/>
      </c>
      <c r="M20" s="7">
        <f>IF(M$3&gt;=Assumptions!$C$54,Assumptions!$C$55*Assumptions!$C$16+Assumptions!$C$56*Assumptions!$C$15+Assumptions!$C$57*Assumptions!$C$17,0)</f>
        <v/>
      </c>
      <c r="N20" s="7">
        <f>IF(N$3&gt;=Assumptions!$C$54,Assumptions!$C$55*Assumptions!$C$16+Assumptions!$C$56*Assumptions!$C$15+Assumptions!$C$57*Assumptions!$C$17,0)</f>
        <v/>
      </c>
      <c r="O20" s="7">
        <f>IF(O$3&gt;=Assumptions!$C$54,Assumptions!$C$55*Assumptions!$C$16+Assumptions!$C$56*Assumptions!$C$15+Assumptions!$C$57*Assumptions!$C$17,0)</f>
        <v/>
      </c>
      <c r="P20" s="7">
        <f>IF(P$3&gt;=Assumptions!$C$54,Assumptions!$C$55*Assumptions!$C$16+Assumptions!$C$56*Assumptions!$C$15+Assumptions!$C$57*Assumptions!$C$17,0)</f>
        <v/>
      </c>
      <c r="Q20" s="7">
        <f>IF(Q$3&gt;=Assumptions!$C$54,Assumptions!$C$55*Assumptions!$C$16+Assumptions!$C$56*Assumptions!$C$15+Assumptions!$C$57*Assumptions!$C$17,0)</f>
        <v/>
      </c>
      <c r="R20" s="7">
        <f>IF(R$3&gt;=Assumptions!$C$54,Assumptions!$C$55*Assumptions!$C$16+Assumptions!$C$56*Assumptions!$C$15+Assumptions!$C$57*Assumptions!$C$17,0)</f>
        <v/>
      </c>
      <c r="S20" s="7">
        <f>IF(S$3&gt;=Assumptions!$C$54,Assumptions!$C$55*Assumptions!$C$16+Assumptions!$C$56*Assumptions!$C$15+Assumptions!$C$57*Assumptions!$C$17,0)</f>
        <v/>
      </c>
      <c r="T20" s="7">
        <f>IF(T$3&gt;=Assumptions!$C$54,Assumptions!$C$55*Assumptions!$C$16+Assumptions!$C$56*Assumptions!$C$15+Assumptions!$C$57*Assumptions!$C$17,0)</f>
        <v/>
      </c>
      <c r="U20" s="7">
        <f>IF(U$3&gt;=Assumptions!$C$54,Assumptions!$C$55*Assumptions!$C$16+Assumptions!$C$56*Assumptions!$C$15+Assumptions!$C$57*Assumptions!$C$17,0)</f>
        <v/>
      </c>
      <c r="V20" s="7">
        <f>IF(V$3&gt;=Assumptions!$C$54,Assumptions!$C$55*Assumptions!$C$16+Assumptions!$C$56*Assumptions!$C$15+Assumptions!$C$57*Assumptions!$C$17,0)</f>
        <v/>
      </c>
      <c r="W20" s="7">
        <f>IF(W$3&gt;=Assumptions!$C$54,Assumptions!$C$55*Assumptions!$C$16+Assumptions!$C$56*Assumptions!$C$15+Assumptions!$C$57*Assumptions!$C$17,0)</f>
        <v/>
      </c>
      <c r="X20" s="7">
        <f>IF(X$3&gt;=Assumptions!$C$54,Assumptions!$C$55*Assumptions!$C$16+Assumptions!$C$56*Assumptions!$C$15+Assumptions!$C$57*Assumptions!$C$17,0)</f>
        <v/>
      </c>
      <c r="Y20" s="7">
        <f>IF(Y$3&gt;=Assumptions!$C$54,Assumptions!$C$55*Assumptions!$C$16+Assumptions!$C$56*Assumptions!$C$15+Assumptions!$C$57*Assumptions!$C$17,0)</f>
        <v/>
      </c>
      <c r="Z20" s="7">
        <f>IF(Z$3&gt;=Assumptions!$C$54,Assumptions!$C$55*Assumptions!$C$16+Assumptions!$C$56*Assumptions!$C$15+Assumptions!$C$57*Assumptions!$C$17,0)</f>
        <v/>
      </c>
    </row>
    <row r="21">
      <c r="A21" t="inlineStr">
        <is>
          <t>B2B: הכנסה מחידושים (₪)</t>
        </is>
      </c>
      <c r="B21" s="6">
        <f>SUM(C21:Z21)</f>
        <v/>
      </c>
      <c r="C21" s="7">
        <f>0</f>
        <v/>
      </c>
      <c r="D21" s="7">
        <f>0</f>
        <v/>
      </c>
      <c r="E21" s="7">
        <f>0</f>
        <v/>
      </c>
      <c r="F21" s="7">
        <f>0</f>
        <v/>
      </c>
      <c r="G21" s="7">
        <f>0</f>
        <v/>
      </c>
      <c r="H21" s="7">
        <f>0</f>
        <v/>
      </c>
      <c r="I21" s="7">
        <f>0</f>
        <v/>
      </c>
      <c r="J21" s="7">
        <f>0</f>
        <v/>
      </c>
      <c r="K21" s="7">
        <f>0</f>
        <v/>
      </c>
      <c r="L21" s="7">
        <f>0</f>
        <v/>
      </c>
      <c r="M21" s="7">
        <f>0</f>
        <v/>
      </c>
      <c r="N21" s="7">
        <f>0</f>
        <v/>
      </c>
      <c r="O21" s="7">
        <f>Assumptions!$C$58*C20</f>
        <v/>
      </c>
      <c r="P21" s="7">
        <f>Assumptions!$C$58*D20</f>
        <v/>
      </c>
      <c r="Q21" s="7">
        <f>Assumptions!$C$58*E20</f>
        <v/>
      </c>
      <c r="R21" s="7">
        <f>Assumptions!$C$58*F20</f>
        <v/>
      </c>
      <c r="S21" s="7">
        <f>Assumptions!$C$58*G20</f>
        <v/>
      </c>
      <c r="T21" s="7">
        <f>Assumptions!$C$58*H20</f>
        <v/>
      </c>
      <c r="U21" s="7">
        <f>Assumptions!$C$58*I20</f>
        <v/>
      </c>
      <c r="V21" s="7">
        <f>Assumptions!$C$58*J20</f>
        <v/>
      </c>
      <c r="W21" s="7">
        <f>Assumptions!$C$58*K20</f>
        <v/>
      </c>
      <c r="X21" s="7">
        <f>Assumptions!$C$58*L20</f>
        <v/>
      </c>
      <c r="Y21" s="7">
        <f>Assumptions!$C$58*M20</f>
        <v/>
      </c>
      <c r="Z21" s="7">
        <f>Assumptions!$C$58*N20</f>
        <v/>
      </c>
    </row>
    <row r="22">
      <c r="A22" t="inlineStr">
        <is>
          <t>B2B: סה"כ הכנסה (₪)</t>
        </is>
      </c>
      <c r="B22" s="6">
        <f>SUM(C22:Z22)</f>
        <v/>
      </c>
      <c r="C22" s="7">
        <f>C20+C21</f>
        <v/>
      </c>
      <c r="D22" s="7">
        <f>D20+D21</f>
        <v/>
      </c>
      <c r="E22" s="7">
        <f>E20+E21</f>
        <v/>
      </c>
      <c r="F22" s="7">
        <f>F20+F21</f>
        <v/>
      </c>
      <c r="G22" s="7">
        <f>G20+G21</f>
        <v/>
      </c>
      <c r="H22" s="7">
        <f>H20+H21</f>
        <v/>
      </c>
      <c r="I22" s="7">
        <f>I20+I21</f>
        <v/>
      </c>
      <c r="J22" s="7">
        <f>J20+J21</f>
        <v/>
      </c>
      <c r="K22" s="7">
        <f>K20+K21</f>
        <v/>
      </c>
      <c r="L22" s="7">
        <f>L20+L21</f>
        <v/>
      </c>
      <c r="M22" s="7">
        <f>M20+M21</f>
        <v/>
      </c>
      <c r="N22" s="7">
        <f>N20+N21</f>
        <v/>
      </c>
      <c r="O22" s="7">
        <f>O20+O21</f>
        <v/>
      </c>
      <c r="P22" s="7">
        <f>P20+P21</f>
        <v/>
      </c>
      <c r="Q22" s="7">
        <f>Q20+Q21</f>
        <v/>
      </c>
      <c r="R22" s="7">
        <f>R20+R21</f>
        <v/>
      </c>
      <c r="S22" s="7">
        <f>S20+S21</f>
        <v/>
      </c>
      <c r="T22" s="7">
        <f>T20+T21</f>
        <v/>
      </c>
      <c r="U22" s="7">
        <f>U20+U21</f>
        <v/>
      </c>
      <c r="V22" s="7">
        <f>V20+V21</f>
        <v/>
      </c>
      <c r="W22" s="7">
        <f>W20+W21</f>
        <v/>
      </c>
      <c r="X22" s="7">
        <f>X20+X21</f>
        <v/>
      </c>
      <c r="Y22" s="7">
        <f>Y20+Y21</f>
        <v/>
      </c>
      <c r="Z22" s="7">
        <f>Z20+Z21</f>
        <v/>
      </c>
    </row>
    <row r="24">
      <c r="A24" s="1" t="inlineStr">
        <is>
          <t>-- שוק אנגלי (מחודש ההשקה) --</t>
        </is>
      </c>
    </row>
    <row r="25">
      <c r="A25" t="inlineStr">
        <is>
          <t>EN: התקנות אורגניות</t>
        </is>
      </c>
      <c r="B25" s="6">
        <f>SUM(C25:Z25)</f>
        <v/>
      </c>
      <c r="C25" s="7">
        <f>IF(C$3&gt;=Assumptions!$C$31,Assumptions!$C$30*(1+Assumptions!$C$29)^(C$3-Assumptions!$C$31),0)</f>
        <v/>
      </c>
      <c r="D25" s="7">
        <f>IF(D$3&gt;=Assumptions!$C$31,Assumptions!$C$30*(1+Assumptions!$C$29)^(D$3-Assumptions!$C$31),0)</f>
        <v/>
      </c>
      <c r="E25" s="7">
        <f>IF(E$3&gt;=Assumptions!$C$31,Assumptions!$C$30*(1+Assumptions!$C$29)^(E$3-Assumptions!$C$31),0)</f>
        <v/>
      </c>
      <c r="F25" s="7">
        <f>IF(F$3&gt;=Assumptions!$C$31,Assumptions!$C$30*(1+Assumptions!$C$29)^(F$3-Assumptions!$C$31),0)</f>
        <v/>
      </c>
      <c r="G25" s="7">
        <f>IF(G$3&gt;=Assumptions!$C$31,Assumptions!$C$30*(1+Assumptions!$C$29)^(G$3-Assumptions!$C$31),0)</f>
        <v/>
      </c>
      <c r="H25" s="7">
        <f>IF(H$3&gt;=Assumptions!$C$31,Assumptions!$C$30*(1+Assumptions!$C$29)^(H$3-Assumptions!$C$31),0)</f>
        <v/>
      </c>
      <c r="I25" s="7">
        <f>IF(I$3&gt;=Assumptions!$C$31,Assumptions!$C$30*(1+Assumptions!$C$29)^(I$3-Assumptions!$C$31),0)</f>
        <v/>
      </c>
      <c r="J25" s="7">
        <f>IF(J$3&gt;=Assumptions!$C$31,Assumptions!$C$30*(1+Assumptions!$C$29)^(J$3-Assumptions!$C$31),0)</f>
        <v/>
      </c>
      <c r="K25" s="7">
        <f>IF(K$3&gt;=Assumptions!$C$31,Assumptions!$C$30*(1+Assumptions!$C$29)^(K$3-Assumptions!$C$31),0)</f>
        <v/>
      </c>
      <c r="L25" s="7">
        <f>IF(L$3&gt;=Assumptions!$C$31,Assumptions!$C$30*(1+Assumptions!$C$29)^(L$3-Assumptions!$C$31),0)</f>
        <v/>
      </c>
      <c r="M25" s="7">
        <f>IF(M$3&gt;=Assumptions!$C$31,Assumptions!$C$30*(1+Assumptions!$C$29)^(M$3-Assumptions!$C$31),0)</f>
        <v/>
      </c>
      <c r="N25" s="7">
        <f>IF(N$3&gt;=Assumptions!$C$31,Assumptions!$C$30*(1+Assumptions!$C$29)^(N$3-Assumptions!$C$31),0)</f>
        <v/>
      </c>
      <c r="O25" s="7">
        <f>IF(O$3&gt;=Assumptions!$C$31,Assumptions!$C$30*(1+Assumptions!$C$29)^(O$3-Assumptions!$C$31),0)</f>
        <v/>
      </c>
      <c r="P25" s="7">
        <f>IF(P$3&gt;=Assumptions!$C$31,Assumptions!$C$30*(1+Assumptions!$C$29)^(P$3-Assumptions!$C$31),0)</f>
        <v/>
      </c>
      <c r="Q25" s="7">
        <f>IF(Q$3&gt;=Assumptions!$C$31,Assumptions!$C$30*(1+Assumptions!$C$29)^(Q$3-Assumptions!$C$31),0)</f>
        <v/>
      </c>
      <c r="R25" s="7">
        <f>IF(R$3&gt;=Assumptions!$C$31,Assumptions!$C$30*(1+Assumptions!$C$29)^(R$3-Assumptions!$C$31),0)</f>
        <v/>
      </c>
      <c r="S25" s="7">
        <f>IF(S$3&gt;=Assumptions!$C$31,Assumptions!$C$30*(1+Assumptions!$C$29)^(S$3-Assumptions!$C$31),0)</f>
        <v/>
      </c>
      <c r="T25" s="7">
        <f>IF(T$3&gt;=Assumptions!$C$31,Assumptions!$C$30*(1+Assumptions!$C$29)^(T$3-Assumptions!$C$31),0)</f>
        <v/>
      </c>
      <c r="U25" s="7">
        <f>IF(U$3&gt;=Assumptions!$C$31,Assumptions!$C$30*(1+Assumptions!$C$29)^(U$3-Assumptions!$C$31),0)</f>
        <v/>
      </c>
      <c r="V25" s="7">
        <f>IF(V$3&gt;=Assumptions!$C$31,Assumptions!$C$30*(1+Assumptions!$C$29)^(V$3-Assumptions!$C$31),0)</f>
        <v/>
      </c>
      <c r="W25" s="7">
        <f>IF(W$3&gt;=Assumptions!$C$31,Assumptions!$C$30*(1+Assumptions!$C$29)^(W$3-Assumptions!$C$31),0)</f>
        <v/>
      </c>
      <c r="X25" s="7">
        <f>IF(X$3&gt;=Assumptions!$C$31,Assumptions!$C$30*(1+Assumptions!$C$29)^(X$3-Assumptions!$C$31),0)</f>
        <v/>
      </c>
      <c r="Y25" s="7">
        <f>IF(Y$3&gt;=Assumptions!$C$31,Assumptions!$C$30*(1+Assumptions!$C$29)^(Y$3-Assumptions!$C$31),0)</f>
        <v/>
      </c>
      <c r="Z25" s="7">
        <f>IF(Z$3&gt;=Assumptions!$C$31,Assumptions!$C$30*(1+Assumptions!$C$29)^(Z$3-Assumptions!$C$31),0)</f>
        <v/>
      </c>
    </row>
    <row r="26">
      <c r="A26" t="inlineStr">
        <is>
          <t>EN: הוצאת פרסום (אין)</t>
        </is>
      </c>
      <c r="B26" s="6">
        <f>SUM(C26:Z26)</f>
        <v/>
      </c>
      <c r="C26" s="7">
        <f>0</f>
        <v/>
      </c>
      <c r="D26" s="7">
        <f>0</f>
        <v/>
      </c>
      <c r="E26" s="7">
        <f>0</f>
        <v/>
      </c>
      <c r="F26" s="7">
        <f>0</f>
        <v/>
      </c>
      <c r="G26" s="7">
        <f>0</f>
        <v/>
      </c>
      <c r="H26" s="7">
        <f>0</f>
        <v/>
      </c>
      <c r="I26" s="7">
        <f>0</f>
        <v/>
      </c>
      <c r="J26" s="7">
        <f>0</f>
        <v/>
      </c>
      <c r="K26" s="7">
        <f>0</f>
        <v/>
      </c>
      <c r="L26" s="7">
        <f>0</f>
        <v/>
      </c>
      <c r="M26" s="7">
        <f>0</f>
        <v/>
      </c>
      <c r="N26" s="7">
        <f>0</f>
        <v/>
      </c>
      <c r="O26" s="7">
        <f>0</f>
        <v/>
      </c>
      <c r="P26" s="7">
        <f>0</f>
        <v/>
      </c>
      <c r="Q26" s="7">
        <f>0</f>
        <v/>
      </c>
      <c r="R26" s="7">
        <f>0</f>
        <v/>
      </c>
      <c r="S26" s="7">
        <f>0</f>
        <v/>
      </c>
      <c r="T26" s="7">
        <f>0</f>
        <v/>
      </c>
      <c r="U26" s="7">
        <f>0</f>
        <v/>
      </c>
      <c r="V26" s="7">
        <f>0</f>
        <v/>
      </c>
      <c r="W26" s="7">
        <f>0</f>
        <v/>
      </c>
      <c r="X26" s="7">
        <f>0</f>
        <v/>
      </c>
      <c r="Y26" s="7">
        <f>0</f>
        <v/>
      </c>
      <c r="Z26" s="7">
        <f>0</f>
        <v/>
      </c>
    </row>
    <row r="27">
      <c r="A27" t="inlineStr">
        <is>
          <t>EN: התקנות בתשלום (אין)</t>
        </is>
      </c>
      <c r="B27" s="6">
        <f>SUM(C27:Z27)</f>
        <v/>
      </c>
      <c r="C27" s="7">
        <f>0</f>
        <v/>
      </c>
      <c r="D27" s="7">
        <f>0</f>
        <v/>
      </c>
      <c r="E27" s="7">
        <f>0</f>
        <v/>
      </c>
      <c r="F27" s="7">
        <f>0</f>
        <v/>
      </c>
      <c r="G27" s="7">
        <f>0</f>
        <v/>
      </c>
      <c r="H27" s="7">
        <f>0</f>
        <v/>
      </c>
      <c r="I27" s="7">
        <f>0</f>
        <v/>
      </c>
      <c r="J27" s="7">
        <f>0</f>
        <v/>
      </c>
      <c r="K27" s="7">
        <f>0</f>
        <v/>
      </c>
      <c r="L27" s="7">
        <f>0</f>
        <v/>
      </c>
      <c r="M27" s="7">
        <f>0</f>
        <v/>
      </c>
      <c r="N27" s="7">
        <f>0</f>
        <v/>
      </c>
      <c r="O27" s="7">
        <f>0</f>
        <v/>
      </c>
      <c r="P27" s="7">
        <f>0</f>
        <v/>
      </c>
      <c r="Q27" s="7">
        <f>0</f>
        <v/>
      </c>
      <c r="R27" s="7">
        <f>0</f>
        <v/>
      </c>
      <c r="S27" s="7">
        <f>0</f>
        <v/>
      </c>
      <c r="T27" s="7">
        <f>0</f>
        <v/>
      </c>
      <c r="U27" s="7">
        <f>0</f>
        <v/>
      </c>
      <c r="V27" s="7">
        <f>0</f>
        <v/>
      </c>
      <c r="W27" s="7">
        <f>0</f>
        <v/>
      </c>
      <c r="X27" s="7">
        <f>0</f>
        <v/>
      </c>
      <c r="Y27" s="7">
        <f>0</f>
        <v/>
      </c>
      <c r="Z27" s="7">
        <f>0</f>
        <v/>
      </c>
    </row>
    <row r="28">
      <c r="A28" t="inlineStr">
        <is>
          <t>EN: סה"כ התקנות</t>
        </is>
      </c>
      <c r="B28" s="6">
        <f>SUM(C28:Z28)</f>
        <v/>
      </c>
      <c r="C28" s="7">
        <f>C25+C27</f>
        <v/>
      </c>
      <c r="D28" s="7">
        <f>D25+D27</f>
        <v/>
      </c>
      <c r="E28" s="7">
        <f>E25+E27</f>
        <v/>
      </c>
      <c r="F28" s="7">
        <f>F25+F27</f>
        <v/>
      </c>
      <c r="G28" s="7">
        <f>G25+G27</f>
        <v/>
      </c>
      <c r="H28" s="7">
        <f>H25+H27</f>
        <v/>
      </c>
      <c r="I28" s="7">
        <f>I25+I27</f>
        <v/>
      </c>
      <c r="J28" s="7">
        <f>J25+J27</f>
        <v/>
      </c>
      <c r="K28" s="7">
        <f>K25+K27</f>
        <v/>
      </c>
      <c r="L28" s="7">
        <f>L25+L27</f>
        <v/>
      </c>
      <c r="M28" s="7">
        <f>M25+M27</f>
        <v/>
      </c>
      <c r="N28" s="7">
        <f>N25+N27</f>
        <v/>
      </c>
      <c r="O28" s="7">
        <f>O25+O27</f>
        <v/>
      </c>
      <c r="P28" s="7">
        <f>P25+P27</f>
        <v/>
      </c>
      <c r="Q28" s="7">
        <f>Q25+Q27</f>
        <v/>
      </c>
      <c r="R28" s="7">
        <f>R25+R27</f>
        <v/>
      </c>
      <c r="S28" s="7">
        <f>S25+S27</f>
        <v/>
      </c>
      <c r="T28" s="7">
        <f>T25+T27</f>
        <v/>
      </c>
      <c r="U28" s="7">
        <f>U25+U27</f>
        <v/>
      </c>
      <c r="V28" s="7">
        <f>V25+V27</f>
        <v/>
      </c>
      <c r="W28" s="7">
        <f>W25+W27</f>
        <v/>
      </c>
      <c r="X28" s="7">
        <f>X25+X27</f>
        <v/>
      </c>
      <c r="Y28" s="7">
        <f>Y25+Y27</f>
        <v/>
      </c>
      <c r="Z28" s="7">
        <f>Z25+Z27</f>
        <v/>
      </c>
    </row>
    <row r="29">
      <c r="A29" t="inlineStr">
        <is>
          <t>EN: שחקנים ותיקים (מחודש 2 ואילך, DAU)</t>
        </is>
      </c>
      <c r="B29" s="6" t="n"/>
      <c r="C29" s="7">
        <f>0</f>
        <v/>
      </c>
      <c r="D29" s="7">
        <f>Assumptions!$C$40*C29+C28*Assumptions!$C$39</f>
        <v/>
      </c>
      <c r="E29" s="7">
        <f>Assumptions!$C$40*D29+D28*Assumptions!$C$39</f>
        <v/>
      </c>
      <c r="F29" s="7">
        <f>Assumptions!$C$40*E29+E28*Assumptions!$C$39</f>
        <v/>
      </c>
      <c r="G29" s="7">
        <f>Assumptions!$C$40*F29+F28*Assumptions!$C$39</f>
        <v/>
      </c>
      <c r="H29" s="7">
        <f>Assumptions!$C$40*G29+G28*Assumptions!$C$39</f>
        <v/>
      </c>
      <c r="I29" s="7">
        <f>Assumptions!$C$40*H29+H28*Assumptions!$C$39</f>
        <v/>
      </c>
      <c r="J29" s="7">
        <f>Assumptions!$C$40*I29+I28*Assumptions!$C$39</f>
        <v/>
      </c>
      <c r="K29" s="7">
        <f>Assumptions!$C$40*J29+J28*Assumptions!$C$39</f>
        <v/>
      </c>
      <c r="L29" s="7">
        <f>Assumptions!$C$40*K29+K28*Assumptions!$C$39</f>
        <v/>
      </c>
      <c r="M29" s="7">
        <f>Assumptions!$C$40*L29+L28*Assumptions!$C$39</f>
        <v/>
      </c>
      <c r="N29" s="7">
        <f>Assumptions!$C$40*M29+M28*Assumptions!$C$39</f>
        <v/>
      </c>
      <c r="O29" s="7">
        <f>Assumptions!$C$40*N29+N28*Assumptions!$C$39</f>
        <v/>
      </c>
      <c r="P29" s="7">
        <f>Assumptions!$C$40*O29+O28*Assumptions!$C$39</f>
        <v/>
      </c>
      <c r="Q29" s="7">
        <f>Assumptions!$C$40*P29+P28*Assumptions!$C$39</f>
        <v/>
      </c>
      <c r="R29" s="7">
        <f>Assumptions!$C$40*Q29+Q28*Assumptions!$C$39</f>
        <v/>
      </c>
      <c r="S29" s="7">
        <f>Assumptions!$C$40*R29+R28*Assumptions!$C$39</f>
        <v/>
      </c>
      <c r="T29" s="7">
        <f>Assumptions!$C$40*S29+S28*Assumptions!$C$39</f>
        <v/>
      </c>
      <c r="U29" s="7">
        <f>Assumptions!$C$40*T29+T28*Assumptions!$C$39</f>
        <v/>
      </c>
      <c r="V29" s="7">
        <f>Assumptions!$C$40*U29+U28*Assumptions!$C$39</f>
        <v/>
      </c>
      <c r="W29" s="7">
        <f>Assumptions!$C$40*V29+V28*Assumptions!$C$39</f>
        <v/>
      </c>
      <c r="X29" s="7">
        <f>Assumptions!$C$40*W29+W28*Assumptions!$C$39</f>
        <v/>
      </c>
      <c r="Y29" s="7">
        <f>Assumptions!$C$40*X29+X28*Assumptions!$C$39</f>
        <v/>
      </c>
      <c r="Z29" s="7">
        <f>Assumptions!$C$40*Y29+Y28*Assumptions!$C$39</f>
        <v/>
      </c>
    </row>
    <row r="30">
      <c r="A30" t="inlineStr">
        <is>
          <t>EN: DAU ממוצע</t>
        </is>
      </c>
      <c r="B30" s="6" t="n"/>
      <c r="C30" s="7">
        <f>C28*((Assumptions!$C$37+Assumptions!$C$38+Assumptions!$C$39)/3)+C29</f>
        <v/>
      </c>
      <c r="D30" s="7">
        <f>D28*((Assumptions!$C$37+Assumptions!$C$38+Assumptions!$C$39)/3)+D29</f>
        <v/>
      </c>
      <c r="E30" s="7">
        <f>E28*((Assumptions!$C$37+Assumptions!$C$38+Assumptions!$C$39)/3)+E29</f>
        <v/>
      </c>
      <c r="F30" s="7">
        <f>F28*((Assumptions!$C$37+Assumptions!$C$38+Assumptions!$C$39)/3)+F29</f>
        <v/>
      </c>
      <c r="G30" s="7">
        <f>G28*((Assumptions!$C$37+Assumptions!$C$38+Assumptions!$C$39)/3)+G29</f>
        <v/>
      </c>
      <c r="H30" s="7">
        <f>H28*((Assumptions!$C$37+Assumptions!$C$38+Assumptions!$C$39)/3)+H29</f>
        <v/>
      </c>
      <c r="I30" s="7">
        <f>I28*((Assumptions!$C$37+Assumptions!$C$38+Assumptions!$C$39)/3)+I29</f>
        <v/>
      </c>
      <c r="J30" s="7">
        <f>J28*((Assumptions!$C$37+Assumptions!$C$38+Assumptions!$C$39)/3)+J29</f>
        <v/>
      </c>
      <c r="K30" s="7">
        <f>K28*((Assumptions!$C$37+Assumptions!$C$38+Assumptions!$C$39)/3)+K29</f>
        <v/>
      </c>
      <c r="L30" s="7">
        <f>L28*((Assumptions!$C$37+Assumptions!$C$38+Assumptions!$C$39)/3)+L29</f>
        <v/>
      </c>
      <c r="M30" s="7">
        <f>M28*((Assumptions!$C$37+Assumptions!$C$38+Assumptions!$C$39)/3)+M29</f>
        <v/>
      </c>
      <c r="N30" s="7">
        <f>N28*((Assumptions!$C$37+Assumptions!$C$38+Assumptions!$C$39)/3)+N29</f>
        <v/>
      </c>
      <c r="O30" s="7">
        <f>O28*((Assumptions!$C$37+Assumptions!$C$38+Assumptions!$C$39)/3)+O29</f>
        <v/>
      </c>
      <c r="P30" s="7">
        <f>P28*((Assumptions!$C$37+Assumptions!$C$38+Assumptions!$C$39)/3)+P29</f>
        <v/>
      </c>
      <c r="Q30" s="7">
        <f>Q28*((Assumptions!$C$37+Assumptions!$C$38+Assumptions!$C$39)/3)+Q29</f>
        <v/>
      </c>
      <c r="R30" s="7">
        <f>R28*((Assumptions!$C$37+Assumptions!$C$38+Assumptions!$C$39)/3)+R29</f>
        <v/>
      </c>
      <c r="S30" s="7">
        <f>S28*((Assumptions!$C$37+Assumptions!$C$38+Assumptions!$C$39)/3)+S29</f>
        <v/>
      </c>
      <c r="T30" s="7">
        <f>T28*((Assumptions!$C$37+Assumptions!$C$38+Assumptions!$C$39)/3)+T29</f>
        <v/>
      </c>
      <c r="U30" s="7">
        <f>U28*((Assumptions!$C$37+Assumptions!$C$38+Assumptions!$C$39)/3)+U29</f>
        <v/>
      </c>
      <c r="V30" s="7">
        <f>V28*((Assumptions!$C$37+Assumptions!$C$38+Assumptions!$C$39)/3)+V29</f>
        <v/>
      </c>
      <c r="W30" s="7">
        <f>W28*((Assumptions!$C$37+Assumptions!$C$38+Assumptions!$C$39)/3)+W29</f>
        <v/>
      </c>
      <c r="X30" s="7">
        <f>X28*((Assumptions!$C$37+Assumptions!$C$38+Assumptions!$C$39)/3)+X29</f>
        <v/>
      </c>
      <c r="Y30" s="7">
        <f>Y28*((Assumptions!$C$37+Assumptions!$C$38+Assumptions!$C$39)/3)+Y29</f>
        <v/>
      </c>
      <c r="Z30" s="7">
        <f>Z28*((Assumptions!$C$37+Assumptions!$C$38+Assumptions!$C$39)/3)+Z29</f>
        <v/>
      </c>
    </row>
    <row r="31">
      <c r="A31" t="inlineStr">
        <is>
          <t>EN: משחקים בחודש</t>
        </is>
      </c>
      <c r="B31" s="6">
        <f>SUM(C31:Z31)</f>
        <v/>
      </c>
      <c r="C31" s="7">
        <f>C30*Assumptions!$C$41*30</f>
        <v/>
      </c>
      <c r="D31" s="7">
        <f>D30*Assumptions!$C$41*30</f>
        <v/>
      </c>
      <c r="E31" s="7">
        <f>E30*Assumptions!$C$41*30</f>
        <v/>
      </c>
      <c r="F31" s="7">
        <f>F30*Assumptions!$C$41*30</f>
        <v/>
      </c>
      <c r="G31" s="7">
        <f>G30*Assumptions!$C$41*30</f>
        <v/>
      </c>
      <c r="H31" s="7">
        <f>H30*Assumptions!$C$41*30</f>
        <v/>
      </c>
      <c r="I31" s="7">
        <f>I30*Assumptions!$C$41*30</f>
        <v/>
      </c>
      <c r="J31" s="7">
        <f>J30*Assumptions!$C$41*30</f>
        <v/>
      </c>
      <c r="K31" s="7">
        <f>K30*Assumptions!$C$41*30</f>
        <v/>
      </c>
      <c r="L31" s="7">
        <f>L30*Assumptions!$C$41*30</f>
        <v/>
      </c>
      <c r="M31" s="7">
        <f>M30*Assumptions!$C$41*30</f>
        <v/>
      </c>
      <c r="N31" s="7">
        <f>N30*Assumptions!$C$41*30</f>
        <v/>
      </c>
      <c r="O31" s="7">
        <f>O30*Assumptions!$C$41*30</f>
        <v/>
      </c>
      <c r="P31" s="7">
        <f>P30*Assumptions!$C$41*30</f>
        <v/>
      </c>
      <c r="Q31" s="7">
        <f>Q30*Assumptions!$C$41*30</f>
        <v/>
      </c>
      <c r="R31" s="7">
        <f>R30*Assumptions!$C$41*30</f>
        <v/>
      </c>
      <c r="S31" s="7">
        <f>S30*Assumptions!$C$41*30</f>
        <v/>
      </c>
      <c r="T31" s="7">
        <f>T30*Assumptions!$C$41*30</f>
        <v/>
      </c>
      <c r="U31" s="7">
        <f>U30*Assumptions!$C$41*30</f>
        <v/>
      </c>
      <c r="V31" s="7">
        <f>V30*Assumptions!$C$41*30</f>
        <v/>
      </c>
      <c r="W31" s="7">
        <f>W30*Assumptions!$C$41*30</f>
        <v/>
      </c>
      <c r="X31" s="7">
        <f>X30*Assumptions!$C$41*30</f>
        <v/>
      </c>
      <c r="Y31" s="7">
        <f>Y30*Assumptions!$C$41*30</f>
        <v/>
      </c>
      <c r="Z31" s="7">
        <f>Z30*Assumptions!$C$41*30</f>
        <v/>
      </c>
    </row>
    <row r="32">
      <c r="A32" t="inlineStr">
        <is>
          <t>EN: חשיפות ביניים</t>
        </is>
      </c>
      <c r="B32" s="6">
        <f>SUM(C32:Z32)</f>
        <v/>
      </c>
      <c r="C32" s="7">
        <f>C31*Assumptions!$C$43*(1-Assumptions!$C$45)*(1-(Assumptions!$C$52*(Assumptions!$C$24+Assumptions!$C$26)))*Assumptions!$C$46</f>
        <v/>
      </c>
      <c r="D32" s="7">
        <f>D31*Assumptions!$C$43*(1-Assumptions!$C$45)*(1-(Assumptions!$C$52*(Assumptions!$C$24+Assumptions!$C$26)))*Assumptions!$C$46</f>
        <v/>
      </c>
      <c r="E32" s="7">
        <f>E31*Assumptions!$C$43*(1-Assumptions!$C$45)*(1-(Assumptions!$C$52*(Assumptions!$C$24+Assumptions!$C$26)))*Assumptions!$C$46</f>
        <v/>
      </c>
      <c r="F32" s="7">
        <f>F31*Assumptions!$C$43*(1-Assumptions!$C$45)*(1-(Assumptions!$C$52*(Assumptions!$C$24+Assumptions!$C$26)))*Assumptions!$C$46</f>
        <v/>
      </c>
      <c r="G32" s="7">
        <f>G31*Assumptions!$C$43*(1-Assumptions!$C$45)*(1-(Assumptions!$C$52*(Assumptions!$C$24+Assumptions!$C$26)))*Assumptions!$C$46</f>
        <v/>
      </c>
      <c r="H32" s="7">
        <f>H31*Assumptions!$C$43*(1-Assumptions!$C$45)*(1-(Assumptions!$C$52*(Assumptions!$C$24+Assumptions!$C$26)))*Assumptions!$C$46</f>
        <v/>
      </c>
      <c r="I32" s="7">
        <f>I31*Assumptions!$C$43*(1-Assumptions!$C$45)*(1-(Assumptions!$C$52*(Assumptions!$C$24+Assumptions!$C$26)))*Assumptions!$C$46</f>
        <v/>
      </c>
      <c r="J32" s="7">
        <f>J31*Assumptions!$C$43*(1-Assumptions!$C$45)*(1-(Assumptions!$C$52*(Assumptions!$C$24+Assumptions!$C$26)))*Assumptions!$C$46</f>
        <v/>
      </c>
      <c r="K32" s="7">
        <f>K31*Assumptions!$C$43*(1-Assumptions!$C$45)*(1-(Assumptions!$C$52*(Assumptions!$C$24+Assumptions!$C$26)))*Assumptions!$C$46</f>
        <v/>
      </c>
      <c r="L32" s="7">
        <f>L31*Assumptions!$C$43*(1-Assumptions!$C$45)*(1-(Assumptions!$C$52*(Assumptions!$C$24+Assumptions!$C$26)))*Assumptions!$C$46</f>
        <v/>
      </c>
      <c r="M32" s="7">
        <f>M31*Assumptions!$C$43*(1-Assumptions!$C$45)*(1-(Assumptions!$C$52*(Assumptions!$C$24+Assumptions!$C$26)))*Assumptions!$C$46</f>
        <v/>
      </c>
      <c r="N32" s="7">
        <f>N31*Assumptions!$C$43*(1-Assumptions!$C$45)*(1-(Assumptions!$C$52*(Assumptions!$C$24+Assumptions!$C$26)))*Assumptions!$C$46</f>
        <v/>
      </c>
      <c r="O32" s="7">
        <f>O31*Assumptions!$C$43*(1-Assumptions!$C$45)*(1-(Assumptions!$C$52*(Assumptions!$C$24+Assumptions!$C$26)))*Assumptions!$C$46</f>
        <v/>
      </c>
      <c r="P32" s="7">
        <f>P31*Assumptions!$C$43*(1-Assumptions!$C$45)*(1-(Assumptions!$C$52*(Assumptions!$C$24+Assumptions!$C$26)))*Assumptions!$C$46</f>
        <v/>
      </c>
      <c r="Q32" s="7">
        <f>Q31*Assumptions!$C$43*(1-Assumptions!$C$45)*(1-(Assumptions!$C$52*(Assumptions!$C$24+Assumptions!$C$26)))*Assumptions!$C$46</f>
        <v/>
      </c>
      <c r="R32" s="7">
        <f>R31*Assumptions!$C$43*(1-Assumptions!$C$45)*(1-(Assumptions!$C$52*(Assumptions!$C$24+Assumptions!$C$26)))*Assumptions!$C$46</f>
        <v/>
      </c>
      <c r="S32" s="7">
        <f>S31*Assumptions!$C$43*(1-Assumptions!$C$45)*(1-(Assumptions!$C$52*(Assumptions!$C$24+Assumptions!$C$26)))*Assumptions!$C$46</f>
        <v/>
      </c>
      <c r="T32" s="7">
        <f>T31*Assumptions!$C$43*(1-Assumptions!$C$45)*(1-(Assumptions!$C$52*(Assumptions!$C$24+Assumptions!$C$26)))*Assumptions!$C$46</f>
        <v/>
      </c>
      <c r="U32" s="7">
        <f>U31*Assumptions!$C$43*(1-Assumptions!$C$45)*(1-(Assumptions!$C$52*(Assumptions!$C$24+Assumptions!$C$26)))*Assumptions!$C$46</f>
        <v/>
      </c>
      <c r="V32" s="7">
        <f>V31*Assumptions!$C$43*(1-Assumptions!$C$45)*(1-(Assumptions!$C$52*(Assumptions!$C$24+Assumptions!$C$26)))*Assumptions!$C$46</f>
        <v/>
      </c>
      <c r="W32" s="7">
        <f>W31*Assumptions!$C$43*(1-Assumptions!$C$45)*(1-(Assumptions!$C$52*(Assumptions!$C$24+Assumptions!$C$26)))*Assumptions!$C$46</f>
        <v/>
      </c>
      <c r="X32" s="7">
        <f>X31*Assumptions!$C$43*(1-Assumptions!$C$45)*(1-(Assumptions!$C$52*(Assumptions!$C$24+Assumptions!$C$26)))*Assumptions!$C$46</f>
        <v/>
      </c>
      <c r="Y32" s="7">
        <f>Y31*Assumptions!$C$43*(1-Assumptions!$C$45)*(1-(Assumptions!$C$52*(Assumptions!$C$24+Assumptions!$C$26)))*Assumptions!$C$46</f>
        <v/>
      </c>
      <c r="Z32" s="7">
        <f>Z31*Assumptions!$C$43*(1-Assumptions!$C$45)*(1-(Assumptions!$C$52*(Assumptions!$C$24+Assumptions!$C$26)))*Assumptions!$C$46</f>
        <v/>
      </c>
    </row>
    <row r="33">
      <c r="A33" t="inlineStr">
        <is>
          <t>EN: חשיפות מתוגמלות</t>
        </is>
      </c>
      <c r="B33" s="6">
        <f>SUM(C33:Z33)</f>
        <v/>
      </c>
      <c r="C33" s="7">
        <f>C31*Assumptions!$C$44*Assumptions!$C$46</f>
        <v/>
      </c>
      <c r="D33" s="7">
        <f>D31*Assumptions!$C$44*Assumptions!$C$46</f>
        <v/>
      </c>
      <c r="E33" s="7">
        <f>E31*Assumptions!$C$44*Assumptions!$C$46</f>
        <v/>
      </c>
      <c r="F33" s="7">
        <f>F31*Assumptions!$C$44*Assumptions!$C$46</f>
        <v/>
      </c>
      <c r="G33" s="7">
        <f>G31*Assumptions!$C$44*Assumptions!$C$46</f>
        <v/>
      </c>
      <c r="H33" s="7">
        <f>H31*Assumptions!$C$44*Assumptions!$C$46</f>
        <v/>
      </c>
      <c r="I33" s="7">
        <f>I31*Assumptions!$C$44*Assumptions!$C$46</f>
        <v/>
      </c>
      <c r="J33" s="7">
        <f>J31*Assumptions!$C$44*Assumptions!$C$46</f>
        <v/>
      </c>
      <c r="K33" s="7">
        <f>K31*Assumptions!$C$44*Assumptions!$C$46</f>
        <v/>
      </c>
      <c r="L33" s="7">
        <f>L31*Assumptions!$C$44*Assumptions!$C$46</f>
        <v/>
      </c>
      <c r="M33" s="7">
        <f>M31*Assumptions!$C$44*Assumptions!$C$46</f>
        <v/>
      </c>
      <c r="N33" s="7">
        <f>N31*Assumptions!$C$44*Assumptions!$C$46</f>
        <v/>
      </c>
      <c r="O33" s="7">
        <f>O31*Assumptions!$C$44*Assumptions!$C$46</f>
        <v/>
      </c>
      <c r="P33" s="7">
        <f>P31*Assumptions!$C$44*Assumptions!$C$46</f>
        <v/>
      </c>
      <c r="Q33" s="7">
        <f>Q31*Assumptions!$C$44*Assumptions!$C$46</f>
        <v/>
      </c>
      <c r="R33" s="7">
        <f>R31*Assumptions!$C$44*Assumptions!$C$46</f>
        <v/>
      </c>
      <c r="S33" s="7">
        <f>S31*Assumptions!$C$44*Assumptions!$C$46</f>
        <v/>
      </c>
      <c r="T33" s="7">
        <f>T31*Assumptions!$C$44*Assumptions!$C$46</f>
        <v/>
      </c>
      <c r="U33" s="7">
        <f>U31*Assumptions!$C$44*Assumptions!$C$46</f>
        <v/>
      </c>
      <c r="V33" s="7">
        <f>V31*Assumptions!$C$44*Assumptions!$C$46</f>
        <v/>
      </c>
      <c r="W33" s="7">
        <f>W31*Assumptions!$C$44*Assumptions!$C$46</f>
        <v/>
      </c>
      <c r="X33" s="7">
        <f>X31*Assumptions!$C$44*Assumptions!$C$46</f>
        <v/>
      </c>
      <c r="Y33" s="7">
        <f>Y31*Assumptions!$C$44*Assumptions!$C$46</f>
        <v/>
      </c>
      <c r="Z33" s="7">
        <f>Z31*Assumptions!$C$44*Assumptions!$C$46</f>
        <v/>
      </c>
    </row>
    <row r="34">
      <c r="A34" t="inlineStr">
        <is>
          <t>EN: הכנסת פרסום ($)</t>
        </is>
      </c>
      <c r="B34" s="6">
        <f>SUM(C34:Z34)</f>
        <v/>
      </c>
      <c r="C34" s="7">
        <f>(C32*Assumptions!$C$50+C33*Assumptions!$C$49)/1000</f>
        <v/>
      </c>
      <c r="D34" s="7">
        <f>(D32*Assumptions!$C$50+D33*Assumptions!$C$49)/1000</f>
        <v/>
      </c>
      <c r="E34" s="7">
        <f>(E32*Assumptions!$C$50+E33*Assumptions!$C$49)/1000</f>
        <v/>
      </c>
      <c r="F34" s="7">
        <f>(F32*Assumptions!$C$50+F33*Assumptions!$C$49)/1000</f>
        <v/>
      </c>
      <c r="G34" s="7">
        <f>(G32*Assumptions!$C$50+G33*Assumptions!$C$49)/1000</f>
        <v/>
      </c>
      <c r="H34" s="7">
        <f>(H32*Assumptions!$C$50+H33*Assumptions!$C$49)/1000</f>
        <v/>
      </c>
      <c r="I34" s="7">
        <f>(I32*Assumptions!$C$50+I33*Assumptions!$C$49)/1000</f>
        <v/>
      </c>
      <c r="J34" s="7">
        <f>(J32*Assumptions!$C$50+J33*Assumptions!$C$49)/1000</f>
        <v/>
      </c>
      <c r="K34" s="7">
        <f>(K32*Assumptions!$C$50+K33*Assumptions!$C$49)/1000</f>
        <v/>
      </c>
      <c r="L34" s="7">
        <f>(L32*Assumptions!$C$50+L33*Assumptions!$C$49)/1000</f>
        <v/>
      </c>
      <c r="M34" s="7">
        <f>(M32*Assumptions!$C$50+M33*Assumptions!$C$49)/1000</f>
        <v/>
      </c>
      <c r="N34" s="7">
        <f>(N32*Assumptions!$C$50+N33*Assumptions!$C$49)/1000</f>
        <v/>
      </c>
      <c r="O34" s="7">
        <f>(O32*Assumptions!$C$50+O33*Assumptions!$C$49)/1000</f>
        <v/>
      </c>
      <c r="P34" s="7">
        <f>(P32*Assumptions!$C$50+P33*Assumptions!$C$49)/1000</f>
        <v/>
      </c>
      <c r="Q34" s="7">
        <f>(Q32*Assumptions!$C$50+Q33*Assumptions!$C$49)/1000</f>
        <v/>
      </c>
      <c r="R34" s="7">
        <f>(R32*Assumptions!$C$50+R33*Assumptions!$C$49)/1000</f>
        <v/>
      </c>
      <c r="S34" s="7">
        <f>(S32*Assumptions!$C$50+S33*Assumptions!$C$49)/1000</f>
        <v/>
      </c>
      <c r="T34" s="7">
        <f>(T32*Assumptions!$C$50+T33*Assumptions!$C$49)/1000</f>
        <v/>
      </c>
      <c r="U34" s="7">
        <f>(U32*Assumptions!$C$50+U33*Assumptions!$C$49)/1000</f>
        <v/>
      </c>
      <c r="V34" s="7">
        <f>(V32*Assumptions!$C$50+V33*Assumptions!$C$49)/1000</f>
        <v/>
      </c>
      <c r="W34" s="7">
        <f>(W32*Assumptions!$C$50+W33*Assumptions!$C$49)/1000</f>
        <v/>
      </c>
      <c r="X34" s="7">
        <f>(X32*Assumptions!$C$50+X33*Assumptions!$C$49)/1000</f>
        <v/>
      </c>
      <c r="Y34" s="7">
        <f>(Y32*Assumptions!$C$50+Y33*Assumptions!$C$49)/1000</f>
        <v/>
      </c>
      <c r="Z34" s="7">
        <f>(Z32*Assumptions!$C$50+Z33*Assumptions!$C$49)/1000</f>
        <v/>
      </c>
    </row>
    <row r="35">
      <c r="A35" t="inlineStr">
        <is>
          <t>EN: הכנסת פרסום (₪)</t>
        </is>
      </c>
      <c r="B35" s="6">
        <f>SUM(C35:Z35)</f>
        <v/>
      </c>
      <c r="C35" s="7">
        <f>C34*Assumptions!$C$22</f>
        <v/>
      </c>
      <c r="D35" s="7">
        <f>D34*Assumptions!$C$22</f>
        <v/>
      </c>
      <c r="E35" s="7">
        <f>E34*Assumptions!$C$22</f>
        <v/>
      </c>
      <c r="F35" s="7">
        <f>F34*Assumptions!$C$22</f>
        <v/>
      </c>
      <c r="G35" s="7">
        <f>G34*Assumptions!$C$22</f>
        <v/>
      </c>
      <c r="H35" s="7">
        <f>H34*Assumptions!$C$22</f>
        <v/>
      </c>
      <c r="I35" s="7">
        <f>I34*Assumptions!$C$22</f>
        <v/>
      </c>
      <c r="J35" s="7">
        <f>J34*Assumptions!$C$22</f>
        <v/>
      </c>
      <c r="K35" s="7">
        <f>K34*Assumptions!$C$22</f>
        <v/>
      </c>
      <c r="L35" s="7">
        <f>L34*Assumptions!$C$22</f>
        <v/>
      </c>
      <c r="M35" s="7">
        <f>M34*Assumptions!$C$22</f>
        <v/>
      </c>
      <c r="N35" s="7">
        <f>N34*Assumptions!$C$22</f>
        <v/>
      </c>
      <c r="O35" s="7">
        <f>O34*Assumptions!$C$22</f>
        <v/>
      </c>
      <c r="P35" s="7">
        <f>P34*Assumptions!$C$22</f>
        <v/>
      </c>
      <c r="Q35" s="7">
        <f>Q34*Assumptions!$C$22</f>
        <v/>
      </c>
      <c r="R35" s="7">
        <f>R34*Assumptions!$C$22</f>
        <v/>
      </c>
      <c r="S35" s="7">
        <f>S34*Assumptions!$C$22</f>
        <v/>
      </c>
      <c r="T35" s="7">
        <f>T34*Assumptions!$C$22</f>
        <v/>
      </c>
      <c r="U35" s="7">
        <f>U34*Assumptions!$C$22</f>
        <v/>
      </c>
      <c r="V35" s="7">
        <f>V34*Assumptions!$C$22</f>
        <v/>
      </c>
      <c r="W35" s="7">
        <f>W34*Assumptions!$C$22</f>
        <v/>
      </c>
      <c r="X35" s="7">
        <f>X34*Assumptions!$C$22</f>
        <v/>
      </c>
      <c r="Y35" s="7">
        <f>Y34*Assumptions!$C$22</f>
        <v/>
      </c>
      <c r="Z35" s="7">
        <f>Z34*Assumptions!$C$22</f>
        <v/>
      </c>
    </row>
    <row r="36">
      <c r="A36" t="inlineStr">
        <is>
          <t>EN: רוכשי IAP</t>
        </is>
      </c>
      <c r="B36" s="6">
        <f>SUM(C36:Z36)</f>
        <v/>
      </c>
      <c r="C36" s="7">
        <f>C28*Assumptions!$C$52</f>
        <v/>
      </c>
      <c r="D36" s="7">
        <f>D28*Assumptions!$C$52</f>
        <v/>
      </c>
      <c r="E36" s="7">
        <f>E28*Assumptions!$C$52</f>
        <v/>
      </c>
      <c r="F36" s="7">
        <f>F28*Assumptions!$C$52</f>
        <v/>
      </c>
      <c r="G36" s="7">
        <f>G28*Assumptions!$C$52</f>
        <v/>
      </c>
      <c r="H36" s="7">
        <f>H28*Assumptions!$C$52</f>
        <v/>
      </c>
      <c r="I36" s="7">
        <f>I28*Assumptions!$C$52</f>
        <v/>
      </c>
      <c r="J36" s="7">
        <f>J28*Assumptions!$C$52</f>
        <v/>
      </c>
      <c r="K36" s="7">
        <f>K28*Assumptions!$C$52</f>
        <v/>
      </c>
      <c r="L36" s="7">
        <f>L28*Assumptions!$C$52</f>
        <v/>
      </c>
      <c r="M36" s="7">
        <f>M28*Assumptions!$C$52</f>
        <v/>
      </c>
      <c r="N36" s="7">
        <f>N28*Assumptions!$C$52</f>
        <v/>
      </c>
      <c r="O36" s="7">
        <f>O28*Assumptions!$C$52</f>
        <v/>
      </c>
      <c r="P36" s="7">
        <f>P28*Assumptions!$C$52</f>
        <v/>
      </c>
      <c r="Q36" s="7">
        <f>Q28*Assumptions!$C$52</f>
        <v/>
      </c>
      <c r="R36" s="7">
        <f>R28*Assumptions!$C$52</f>
        <v/>
      </c>
      <c r="S36" s="7">
        <f>S28*Assumptions!$C$52</f>
        <v/>
      </c>
      <c r="T36" s="7">
        <f>T28*Assumptions!$C$52</f>
        <v/>
      </c>
      <c r="U36" s="7">
        <f>U28*Assumptions!$C$52</f>
        <v/>
      </c>
      <c r="V36" s="7">
        <f>V28*Assumptions!$C$52</f>
        <v/>
      </c>
      <c r="W36" s="7">
        <f>W28*Assumptions!$C$52</f>
        <v/>
      </c>
      <c r="X36" s="7">
        <f>X28*Assumptions!$C$52</f>
        <v/>
      </c>
      <c r="Y36" s="7">
        <f>Y28*Assumptions!$C$52</f>
        <v/>
      </c>
      <c r="Z36" s="7">
        <f>Z28*Assumptions!$C$52</f>
        <v/>
      </c>
    </row>
    <row r="37">
      <c r="A37" t="inlineStr">
        <is>
          <t>EN: IAP ברוטו (₪, מחיר צרכן)</t>
        </is>
      </c>
      <c r="B37" s="6">
        <f>SUM(C37:Z37)</f>
        <v/>
      </c>
      <c r="C37" s="7">
        <f>C36*(Assumptions!$C$24*Assumptions!$C$12+Assumptions!$C$25*Assumptions!$C$13+Assumptions!$C$26*Assumptions!$C$14)*Assumptions!$C$22</f>
        <v/>
      </c>
      <c r="D37" s="7">
        <f>D36*(Assumptions!$C$24*Assumptions!$C$12+Assumptions!$C$25*Assumptions!$C$13+Assumptions!$C$26*Assumptions!$C$14)*Assumptions!$C$22</f>
        <v/>
      </c>
      <c r="E37" s="7">
        <f>E36*(Assumptions!$C$24*Assumptions!$C$12+Assumptions!$C$25*Assumptions!$C$13+Assumptions!$C$26*Assumptions!$C$14)*Assumptions!$C$22</f>
        <v/>
      </c>
      <c r="F37" s="7">
        <f>F36*(Assumptions!$C$24*Assumptions!$C$12+Assumptions!$C$25*Assumptions!$C$13+Assumptions!$C$26*Assumptions!$C$14)*Assumptions!$C$22</f>
        <v/>
      </c>
      <c r="G37" s="7">
        <f>G36*(Assumptions!$C$24*Assumptions!$C$12+Assumptions!$C$25*Assumptions!$C$13+Assumptions!$C$26*Assumptions!$C$14)*Assumptions!$C$22</f>
        <v/>
      </c>
      <c r="H37" s="7">
        <f>H36*(Assumptions!$C$24*Assumptions!$C$12+Assumptions!$C$25*Assumptions!$C$13+Assumptions!$C$26*Assumptions!$C$14)*Assumptions!$C$22</f>
        <v/>
      </c>
      <c r="I37" s="7">
        <f>I36*(Assumptions!$C$24*Assumptions!$C$12+Assumptions!$C$25*Assumptions!$C$13+Assumptions!$C$26*Assumptions!$C$14)*Assumptions!$C$22</f>
        <v/>
      </c>
      <c r="J37" s="7">
        <f>J36*(Assumptions!$C$24*Assumptions!$C$12+Assumptions!$C$25*Assumptions!$C$13+Assumptions!$C$26*Assumptions!$C$14)*Assumptions!$C$22</f>
        <v/>
      </c>
      <c r="K37" s="7">
        <f>K36*(Assumptions!$C$24*Assumptions!$C$12+Assumptions!$C$25*Assumptions!$C$13+Assumptions!$C$26*Assumptions!$C$14)*Assumptions!$C$22</f>
        <v/>
      </c>
      <c r="L37" s="7">
        <f>L36*(Assumptions!$C$24*Assumptions!$C$12+Assumptions!$C$25*Assumptions!$C$13+Assumptions!$C$26*Assumptions!$C$14)*Assumptions!$C$22</f>
        <v/>
      </c>
      <c r="M37" s="7">
        <f>M36*(Assumptions!$C$24*Assumptions!$C$12+Assumptions!$C$25*Assumptions!$C$13+Assumptions!$C$26*Assumptions!$C$14)*Assumptions!$C$22</f>
        <v/>
      </c>
      <c r="N37" s="7">
        <f>N36*(Assumptions!$C$24*Assumptions!$C$12+Assumptions!$C$25*Assumptions!$C$13+Assumptions!$C$26*Assumptions!$C$14)*Assumptions!$C$22</f>
        <v/>
      </c>
      <c r="O37" s="7">
        <f>O36*(Assumptions!$C$24*Assumptions!$C$12+Assumptions!$C$25*Assumptions!$C$13+Assumptions!$C$26*Assumptions!$C$14)*Assumptions!$C$22</f>
        <v/>
      </c>
      <c r="P37" s="7">
        <f>P36*(Assumptions!$C$24*Assumptions!$C$12+Assumptions!$C$25*Assumptions!$C$13+Assumptions!$C$26*Assumptions!$C$14)*Assumptions!$C$22</f>
        <v/>
      </c>
      <c r="Q37" s="7">
        <f>Q36*(Assumptions!$C$24*Assumptions!$C$12+Assumptions!$C$25*Assumptions!$C$13+Assumptions!$C$26*Assumptions!$C$14)*Assumptions!$C$22</f>
        <v/>
      </c>
      <c r="R37" s="7">
        <f>R36*(Assumptions!$C$24*Assumptions!$C$12+Assumptions!$C$25*Assumptions!$C$13+Assumptions!$C$26*Assumptions!$C$14)*Assumptions!$C$22</f>
        <v/>
      </c>
      <c r="S37" s="7">
        <f>S36*(Assumptions!$C$24*Assumptions!$C$12+Assumptions!$C$25*Assumptions!$C$13+Assumptions!$C$26*Assumptions!$C$14)*Assumptions!$C$22</f>
        <v/>
      </c>
      <c r="T37" s="7">
        <f>T36*(Assumptions!$C$24*Assumptions!$C$12+Assumptions!$C$25*Assumptions!$C$13+Assumptions!$C$26*Assumptions!$C$14)*Assumptions!$C$22</f>
        <v/>
      </c>
      <c r="U37" s="7">
        <f>U36*(Assumptions!$C$24*Assumptions!$C$12+Assumptions!$C$25*Assumptions!$C$13+Assumptions!$C$26*Assumptions!$C$14)*Assumptions!$C$22</f>
        <v/>
      </c>
      <c r="V37" s="7">
        <f>V36*(Assumptions!$C$24*Assumptions!$C$12+Assumptions!$C$25*Assumptions!$C$13+Assumptions!$C$26*Assumptions!$C$14)*Assumptions!$C$22</f>
        <v/>
      </c>
      <c r="W37" s="7">
        <f>W36*(Assumptions!$C$24*Assumptions!$C$12+Assumptions!$C$25*Assumptions!$C$13+Assumptions!$C$26*Assumptions!$C$14)*Assumptions!$C$22</f>
        <v/>
      </c>
      <c r="X37" s="7">
        <f>X36*(Assumptions!$C$24*Assumptions!$C$12+Assumptions!$C$25*Assumptions!$C$13+Assumptions!$C$26*Assumptions!$C$14)*Assumptions!$C$22</f>
        <v/>
      </c>
      <c r="Y37" s="7">
        <f>Y36*(Assumptions!$C$24*Assumptions!$C$12+Assumptions!$C$25*Assumptions!$C$13+Assumptions!$C$26*Assumptions!$C$14)*Assumptions!$C$22</f>
        <v/>
      </c>
      <c r="Z37" s="7">
        <f>Z36*(Assumptions!$C$24*Assumptions!$C$12+Assumptions!$C$25*Assumptions!$C$13+Assumptions!$C$26*Assumptions!$C$14)*Assumptions!$C$22</f>
        <v/>
      </c>
    </row>
    <row r="38">
      <c r="A38" t="inlineStr">
        <is>
          <t>EN: IAP נטו אחרי מסים ועמלת חנות (₪)</t>
        </is>
      </c>
      <c r="B38" s="6">
        <f>SUM(C38:Z38)</f>
        <v/>
      </c>
      <c r="C38" s="7">
        <f>C37*(1-Assumptions!$C$21)*(1-Assumptions!$C$19)</f>
        <v/>
      </c>
      <c r="D38" s="7">
        <f>D37*(1-Assumptions!$C$21)*(1-Assumptions!$C$19)</f>
        <v/>
      </c>
      <c r="E38" s="7">
        <f>E37*(1-Assumptions!$C$21)*(1-Assumptions!$C$19)</f>
        <v/>
      </c>
      <c r="F38" s="7">
        <f>F37*(1-Assumptions!$C$21)*(1-Assumptions!$C$19)</f>
        <v/>
      </c>
      <c r="G38" s="7">
        <f>G37*(1-Assumptions!$C$21)*(1-Assumptions!$C$19)</f>
        <v/>
      </c>
      <c r="H38" s="7">
        <f>H37*(1-Assumptions!$C$21)*(1-Assumptions!$C$19)</f>
        <v/>
      </c>
      <c r="I38" s="7">
        <f>I37*(1-Assumptions!$C$21)*(1-Assumptions!$C$19)</f>
        <v/>
      </c>
      <c r="J38" s="7">
        <f>J37*(1-Assumptions!$C$21)*(1-Assumptions!$C$19)</f>
        <v/>
      </c>
      <c r="K38" s="7">
        <f>K37*(1-Assumptions!$C$21)*(1-Assumptions!$C$19)</f>
        <v/>
      </c>
      <c r="L38" s="7">
        <f>L37*(1-Assumptions!$C$21)*(1-Assumptions!$C$19)</f>
        <v/>
      </c>
      <c r="M38" s="7">
        <f>M37*(1-Assumptions!$C$21)*(1-Assumptions!$C$19)</f>
        <v/>
      </c>
      <c r="N38" s="7">
        <f>N37*(1-Assumptions!$C$21)*(1-Assumptions!$C$19)</f>
        <v/>
      </c>
      <c r="O38" s="7">
        <f>O37*(1-Assumptions!$C$21)*(1-Assumptions!$C$19)</f>
        <v/>
      </c>
      <c r="P38" s="7">
        <f>P37*(1-Assumptions!$C$21)*(1-Assumptions!$C$19)</f>
        <v/>
      </c>
      <c r="Q38" s="7">
        <f>Q37*(1-Assumptions!$C$21)*(1-Assumptions!$C$19)</f>
        <v/>
      </c>
      <c r="R38" s="7">
        <f>R37*(1-Assumptions!$C$21)*(1-Assumptions!$C$19)</f>
        <v/>
      </c>
      <c r="S38" s="7">
        <f>S37*(1-Assumptions!$C$21)*(1-Assumptions!$C$19)</f>
        <v/>
      </c>
      <c r="T38" s="7">
        <f>T37*(1-Assumptions!$C$21)*(1-Assumptions!$C$19)</f>
        <v/>
      </c>
      <c r="U38" s="7">
        <f>U37*(1-Assumptions!$C$21)*(1-Assumptions!$C$19)</f>
        <v/>
      </c>
      <c r="V38" s="7">
        <f>V37*(1-Assumptions!$C$21)*(1-Assumptions!$C$19)</f>
        <v/>
      </c>
      <c r="W38" s="7">
        <f>W37*(1-Assumptions!$C$21)*(1-Assumptions!$C$19)</f>
        <v/>
      </c>
      <c r="X38" s="7">
        <f>X37*(1-Assumptions!$C$21)*(1-Assumptions!$C$19)</f>
        <v/>
      </c>
      <c r="Y38" s="7">
        <f>Y37*(1-Assumptions!$C$21)*(1-Assumptions!$C$19)</f>
        <v/>
      </c>
      <c r="Z38" s="7">
        <f>Z37*(1-Assumptions!$C$21)*(1-Assumptions!$C$19)</f>
        <v/>
      </c>
    </row>
    <row r="40">
      <c r="A40" s="1" t="inlineStr">
        <is>
          <t>-- סיכום --</t>
        </is>
      </c>
    </row>
    <row r="41">
      <c r="A41" t="inlineStr">
        <is>
          <t>הכנסות - עברית בלבד (פרסום + IAP נטו + B2B)</t>
        </is>
      </c>
      <c r="B41" s="6">
        <f>SUM(C41:Z41)</f>
        <v/>
      </c>
      <c r="C41" s="7">
        <f>C15+C18+C22</f>
        <v/>
      </c>
      <c r="D41" s="7">
        <f>D15+D18+D22</f>
        <v/>
      </c>
      <c r="E41" s="7">
        <f>E15+E18+E22</f>
        <v/>
      </c>
      <c r="F41" s="7">
        <f>F15+F18+F22</f>
        <v/>
      </c>
      <c r="G41" s="7">
        <f>G15+G18+G22</f>
        <v/>
      </c>
      <c r="H41" s="7">
        <f>H15+H18+H22</f>
        <v/>
      </c>
      <c r="I41" s="7">
        <f>I15+I18+I22</f>
        <v/>
      </c>
      <c r="J41" s="7">
        <f>J15+J18+J22</f>
        <v/>
      </c>
      <c r="K41" s="7">
        <f>K15+K18+K22</f>
        <v/>
      </c>
      <c r="L41" s="7">
        <f>L15+L18+L22</f>
        <v/>
      </c>
      <c r="M41" s="7">
        <f>M15+M18+M22</f>
        <v/>
      </c>
      <c r="N41" s="7">
        <f>N15+N18+N22</f>
        <v/>
      </c>
      <c r="O41" s="7">
        <f>O15+O18+O22</f>
        <v/>
      </c>
      <c r="P41" s="7">
        <f>P15+P18+P22</f>
        <v/>
      </c>
      <c r="Q41" s="7">
        <f>Q15+Q18+Q22</f>
        <v/>
      </c>
      <c r="R41" s="7">
        <f>R15+R18+R22</f>
        <v/>
      </c>
      <c r="S41" s="7">
        <f>S15+S18+S22</f>
        <v/>
      </c>
      <c r="T41" s="7">
        <f>T15+T18+T22</f>
        <v/>
      </c>
      <c r="U41" s="7">
        <f>U15+U18+U22</f>
        <v/>
      </c>
      <c r="V41" s="7">
        <f>V15+V18+V22</f>
        <v/>
      </c>
      <c r="W41" s="7">
        <f>W15+W18+W22</f>
        <v/>
      </c>
      <c r="X41" s="7">
        <f>X15+X18+X22</f>
        <v/>
      </c>
      <c r="Y41" s="7">
        <f>Y15+Y18+Y22</f>
        <v/>
      </c>
      <c r="Z41" s="7">
        <f>Z15+Z18+Z22</f>
        <v/>
      </c>
    </row>
    <row r="42">
      <c r="A42" t="inlineStr">
        <is>
          <t>הכנסות שוק אנגלי (פרסום + IAP נטו)</t>
        </is>
      </c>
      <c r="B42" s="6">
        <f>SUM(C42:Z42)</f>
        <v/>
      </c>
      <c r="C42" s="7">
        <f>C35+C38</f>
        <v/>
      </c>
      <c r="D42" s="7">
        <f>D35+D38</f>
        <v/>
      </c>
      <c r="E42" s="7">
        <f>E35+E38</f>
        <v/>
      </c>
      <c r="F42" s="7">
        <f>F35+F38</f>
        <v/>
      </c>
      <c r="G42" s="7">
        <f>G35+G38</f>
        <v/>
      </c>
      <c r="H42" s="7">
        <f>H35+H38</f>
        <v/>
      </c>
      <c r="I42" s="7">
        <f>I35+I38</f>
        <v/>
      </c>
      <c r="J42" s="7">
        <f>J35+J38</f>
        <v/>
      </c>
      <c r="K42" s="7">
        <f>K35+K38</f>
        <v/>
      </c>
      <c r="L42" s="7">
        <f>L35+L38</f>
        <v/>
      </c>
      <c r="M42" s="7">
        <f>M35+M38</f>
        <v/>
      </c>
      <c r="N42" s="7">
        <f>N35+N38</f>
        <v/>
      </c>
      <c r="O42" s="7">
        <f>O35+O38</f>
        <v/>
      </c>
      <c r="P42" s="7">
        <f>P35+P38</f>
        <v/>
      </c>
      <c r="Q42" s="7">
        <f>Q35+Q38</f>
        <v/>
      </c>
      <c r="R42" s="7">
        <f>R35+R38</f>
        <v/>
      </c>
      <c r="S42" s="7">
        <f>S35+S38</f>
        <v/>
      </c>
      <c r="T42" s="7">
        <f>T35+T38</f>
        <v/>
      </c>
      <c r="U42" s="7">
        <f>U35+U38</f>
        <v/>
      </c>
      <c r="V42" s="7">
        <f>V35+V38</f>
        <v/>
      </c>
      <c r="W42" s="7">
        <f>W35+W38</f>
        <v/>
      </c>
      <c r="X42" s="7">
        <f>X35+X38</f>
        <v/>
      </c>
      <c r="Y42" s="7">
        <f>Y35+Y38</f>
        <v/>
      </c>
      <c r="Z42" s="7">
        <f>Z35+Z38</f>
        <v/>
      </c>
    </row>
    <row r="43">
      <c r="A43" t="inlineStr">
        <is>
          <t>הכנסות - עברית+אנגלית</t>
        </is>
      </c>
      <c r="B43" s="6">
        <f>SUM(C43:Z43)</f>
        <v/>
      </c>
      <c r="C43" s="7">
        <f>C41+C42</f>
        <v/>
      </c>
      <c r="D43" s="7">
        <f>D41+D42</f>
        <v/>
      </c>
      <c r="E43" s="7">
        <f>E41+E42</f>
        <v/>
      </c>
      <c r="F43" s="7">
        <f>F41+F42</f>
        <v/>
      </c>
      <c r="G43" s="7">
        <f>G41+G42</f>
        <v/>
      </c>
      <c r="H43" s="7">
        <f>H41+H42</f>
        <v/>
      </c>
      <c r="I43" s="7">
        <f>I41+I42</f>
        <v/>
      </c>
      <c r="J43" s="7">
        <f>J41+J42</f>
        <v/>
      </c>
      <c r="K43" s="7">
        <f>K41+K42</f>
        <v/>
      </c>
      <c r="L43" s="7">
        <f>L41+L42</f>
        <v/>
      </c>
      <c r="M43" s="7">
        <f>M41+M42</f>
        <v/>
      </c>
      <c r="N43" s="7">
        <f>N41+N42</f>
        <v/>
      </c>
      <c r="O43" s="7">
        <f>O41+O42</f>
        <v/>
      </c>
      <c r="P43" s="7">
        <f>P41+P42</f>
        <v/>
      </c>
      <c r="Q43" s="7">
        <f>Q41+Q42</f>
        <v/>
      </c>
      <c r="R43" s="7">
        <f>R41+R42</f>
        <v/>
      </c>
      <c r="S43" s="7">
        <f>S41+S42</f>
        <v/>
      </c>
      <c r="T43" s="7">
        <f>T41+T42</f>
        <v/>
      </c>
      <c r="U43" s="7">
        <f>U41+U42</f>
        <v/>
      </c>
      <c r="V43" s="7">
        <f>V41+V42</f>
        <v/>
      </c>
      <c r="W43" s="7">
        <f>W41+W42</f>
        <v/>
      </c>
      <c r="X43" s="7">
        <f>X41+X42</f>
        <v/>
      </c>
      <c r="Y43" s="7">
        <f>Y41+Y42</f>
        <v/>
      </c>
      <c r="Z43" s="7">
        <f>Z41+Z42</f>
        <v/>
      </c>
    </row>
    <row r="44">
      <c r="A44" t="inlineStr">
        <is>
          <t>עלויות מזומן - עברית בלבד (קבועות + פרסום בתשלום)</t>
        </is>
      </c>
      <c r="B44" s="6">
        <f>SUM(C44:Z44)</f>
        <v/>
      </c>
      <c r="C44" s="7">
        <f>Costs!C11+C6</f>
        <v/>
      </c>
      <c r="D44" s="7">
        <f>Costs!D11+D6</f>
        <v/>
      </c>
      <c r="E44" s="7">
        <f>Costs!E11+E6</f>
        <v/>
      </c>
      <c r="F44" s="7">
        <f>Costs!F11+F6</f>
        <v/>
      </c>
      <c r="G44" s="7">
        <f>Costs!G11+G6</f>
        <v/>
      </c>
      <c r="H44" s="7">
        <f>Costs!H11+H6</f>
        <v/>
      </c>
      <c r="I44" s="7">
        <f>Costs!I11+I6</f>
        <v/>
      </c>
      <c r="J44" s="7">
        <f>Costs!J11+J6</f>
        <v/>
      </c>
      <c r="K44" s="7">
        <f>Costs!K11+K6</f>
        <v/>
      </c>
      <c r="L44" s="7">
        <f>Costs!L11+L6</f>
        <v/>
      </c>
      <c r="M44" s="7">
        <f>Costs!M11+M6</f>
        <v/>
      </c>
      <c r="N44" s="7">
        <f>Costs!N11+N6</f>
        <v/>
      </c>
      <c r="O44" s="7">
        <f>Costs!O11+O6</f>
        <v/>
      </c>
      <c r="P44" s="7">
        <f>Costs!P11+P6</f>
        <v/>
      </c>
      <c r="Q44" s="7">
        <f>Costs!Q11+Q6</f>
        <v/>
      </c>
      <c r="R44" s="7">
        <f>Costs!R11+R6</f>
        <v/>
      </c>
      <c r="S44" s="7">
        <f>Costs!S11+S6</f>
        <v/>
      </c>
      <c r="T44" s="7">
        <f>Costs!T11+T6</f>
        <v/>
      </c>
      <c r="U44" s="7">
        <f>Costs!U11+U6</f>
        <v/>
      </c>
      <c r="V44" s="7">
        <f>Costs!V11+V6</f>
        <v/>
      </c>
      <c r="W44" s="7">
        <f>Costs!W11+W6</f>
        <v/>
      </c>
      <c r="X44" s="7">
        <f>Costs!X11+X6</f>
        <v/>
      </c>
      <c r="Y44" s="7">
        <f>Costs!Y11+Y6</f>
        <v/>
      </c>
      <c r="Z44" s="7">
        <f>Costs!Z11+Z6</f>
        <v/>
      </c>
    </row>
    <row r="45">
      <c r="A45" t="inlineStr">
        <is>
          <t>עלויות מזומן - עברית+אנגלית (כולל תרגום)</t>
        </is>
      </c>
      <c r="B45" s="6">
        <f>SUM(C45:Z45)</f>
        <v/>
      </c>
      <c r="C45" s="7">
        <f>C44+Costs!C12</f>
        <v/>
      </c>
      <c r="D45" s="7">
        <f>D44+Costs!D12</f>
        <v/>
      </c>
      <c r="E45" s="7">
        <f>E44+Costs!E12</f>
        <v/>
      </c>
      <c r="F45" s="7">
        <f>F44+Costs!F12</f>
        <v/>
      </c>
      <c r="G45" s="7">
        <f>G44+Costs!G12</f>
        <v/>
      </c>
      <c r="H45" s="7">
        <f>H44+Costs!H12</f>
        <v/>
      </c>
      <c r="I45" s="7">
        <f>I44+Costs!I12</f>
        <v/>
      </c>
      <c r="J45" s="7">
        <f>J44+Costs!J12</f>
        <v/>
      </c>
      <c r="K45" s="7">
        <f>K44+Costs!K12</f>
        <v/>
      </c>
      <c r="L45" s="7">
        <f>L44+Costs!L12</f>
        <v/>
      </c>
      <c r="M45" s="7">
        <f>M44+Costs!M12</f>
        <v/>
      </c>
      <c r="N45" s="7">
        <f>N44+Costs!N12</f>
        <v/>
      </c>
      <c r="O45" s="7">
        <f>O44+Costs!O12</f>
        <v/>
      </c>
      <c r="P45" s="7">
        <f>P44+Costs!P12</f>
        <v/>
      </c>
      <c r="Q45" s="7">
        <f>Q44+Costs!Q12</f>
        <v/>
      </c>
      <c r="R45" s="7">
        <f>R44+Costs!R12</f>
        <v/>
      </c>
      <c r="S45" s="7">
        <f>S44+Costs!S12</f>
        <v/>
      </c>
      <c r="T45" s="7">
        <f>T44+Costs!T12</f>
        <v/>
      </c>
      <c r="U45" s="7">
        <f>U44+Costs!U12</f>
        <v/>
      </c>
      <c r="V45" s="7">
        <f>V44+Costs!V12</f>
        <v/>
      </c>
      <c r="W45" s="7">
        <f>W44+Costs!W12</f>
        <v/>
      </c>
      <c r="X45" s="7">
        <f>X44+Costs!X12</f>
        <v/>
      </c>
      <c r="Y45" s="7">
        <f>Y44+Costs!Y12</f>
        <v/>
      </c>
      <c r="Z45" s="7">
        <f>Z44+Costs!Z12</f>
        <v/>
      </c>
    </row>
    <row r="46">
      <c r="A46" t="inlineStr">
        <is>
          <t>נטו חודשי - עברית בלבד</t>
        </is>
      </c>
      <c r="B46" s="6">
        <f>SUM(C46:Z46)</f>
        <v/>
      </c>
      <c r="C46" s="7">
        <f>C41-C44</f>
        <v/>
      </c>
      <c r="D46" s="7">
        <f>D41-D44</f>
        <v/>
      </c>
      <c r="E46" s="7">
        <f>E41-E44</f>
        <v/>
      </c>
      <c r="F46" s="7">
        <f>F41-F44</f>
        <v/>
      </c>
      <c r="G46" s="7">
        <f>G41-G44</f>
        <v/>
      </c>
      <c r="H46" s="7">
        <f>H41-H44</f>
        <v/>
      </c>
      <c r="I46" s="7">
        <f>I41-I44</f>
        <v/>
      </c>
      <c r="J46" s="7">
        <f>J41-J44</f>
        <v/>
      </c>
      <c r="K46" s="7">
        <f>K41-K44</f>
        <v/>
      </c>
      <c r="L46" s="7">
        <f>L41-L44</f>
        <v/>
      </c>
      <c r="M46" s="7">
        <f>M41-M44</f>
        <v/>
      </c>
      <c r="N46" s="7">
        <f>N41-N44</f>
        <v/>
      </c>
      <c r="O46" s="7">
        <f>O41-O44</f>
        <v/>
      </c>
      <c r="P46" s="7">
        <f>P41-P44</f>
        <v/>
      </c>
      <c r="Q46" s="7">
        <f>Q41-Q44</f>
        <v/>
      </c>
      <c r="R46" s="7">
        <f>R41-R44</f>
        <v/>
      </c>
      <c r="S46" s="7">
        <f>S41-S44</f>
        <v/>
      </c>
      <c r="T46" s="7">
        <f>T41-T44</f>
        <v/>
      </c>
      <c r="U46" s="7">
        <f>U41-U44</f>
        <v/>
      </c>
      <c r="V46" s="7">
        <f>V41-V44</f>
        <v/>
      </c>
      <c r="W46" s="7">
        <f>W41-W44</f>
        <v/>
      </c>
      <c r="X46" s="7">
        <f>X41-X44</f>
        <v/>
      </c>
      <c r="Y46" s="7">
        <f>Y41-Y44</f>
        <v/>
      </c>
      <c r="Z46" s="7">
        <f>Z41-Z44</f>
        <v/>
      </c>
    </row>
    <row r="47">
      <c r="A47" t="inlineStr">
        <is>
          <t>נטו חודשי - עברית+אנגלית</t>
        </is>
      </c>
      <c r="B47" s="6">
        <f>SUM(C47:Z47)</f>
        <v/>
      </c>
      <c r="C47" s="7">
        <f>C43-C45</f>
        <v/>
      </c>
      <c r="D47" s="7">
        <f>D43-D45</f>
        <v/>
      </c>
      <c r="E47" s="7">
        <f>E43-E45</f>
        <v/>
      </c>
      <c r="F47" s="7">
        <f>F43-F45</f>
        <v/>
      </c>
      <c r="G47" s="7">
        <f>G43-G45</f>
        <v/>
      </c>
      <c r="H47" s="7">
        <f>H43-H45</f>
        <v/>
      </c>
      <c r="I47" s="7">
        <f>I43-I45</f>
        <v/>
      </c>
      <c r="J47" s="7">
        <f>J43-J45</f>
        <v/>
      </c>
      <c r="K47" s="7">
        <f>K43-K45</f>
        <v/>
      </c>
      <c r="L47" s="7">
        <f>L43-L45</f>
        <v/>
      </c>
      <c r="M47" s="7">
        <f>M43-M45</f>
        <v/>
      </c>
      <c r="N47" s="7">
        <f>N43-N45</f>
        <v/>
      </c>
      <c r="O47" s="7">
        <f>O43-O45</f>
        <v/>
      </c>
      <c r="P47" s="7">
        <f>P43-P45</f>
        <v/>
      </c>
      <c r="Q47" s="7">
        <f>Q43-Q45</f>
        <v/>
      </c>
      <c r="R47" s="7">
        <f>R43-R45</f>
        <v/>
      </c>
      <c r="S47" s="7">
        <f>S43-S45</f>
        <v/>
      </c>
      <c r="T47" s="7">
        <f>T43-T45</f>
        <v/>
      </c>
      <c r="U47" s="7">
        <f>U43-U45</f>
        <v/>
      </c>
      <c r="V47" s="7">
        <f>V43-V45</f>
        <v/>
      </c>
      <c r="W47" s="7">
        <f>W43-W45</f>
        <v/>
      </c>
      <c r="X47" s="7">
        <f>X43-X45</f>
        <v/>
      </c>
      <c r="Y47" s="7">
        <f>Y43-Y45</f>
        <v/>
      </c>
      <c r="Z47" s="7">
        <f>Z43-Z45</f>
        <v/>
      </c>
    </row>
    <row r="48">
      <c r="A48" t="inlineStr">
        <is>
          <t>נטו מצטבר - עברית בלבד</t>
        </is>
      </c>
      <c r="B48" s="6" t="n"/>
      <c r="C48" s="7">
        <f>C46</f>
        <v/>
      </c>
      <c r="D48" s="7">
        <f>C48+D46</f>
        <v/>
      </c>
      <c r="E48" s="7">
        <f>D48+E46</f>
        <v/>
      </c>
      <c r="F48" s="7">
        <f>E48+F46</f>
        <v/>
      </c>
      <c r="G48" s="7">
        <f>F48+G46</f>
        <v/>
      </c>
      <c r="H48" s="7">
        <f>G48+H46</f>
        <v/>
      </c>
      <c r="I48" s="7">
        <f>H48+I46</f>
        <v/>
      </c>
      <c r="J48" s="7">
        <f>I48+J46</f>
        <v/>
      </c>
      <c r="K48" s="7">
        <f>J48+K46</f>
        <v/>
      </c>
      <c r="L48" s="7">
        <f>K48+L46</f>
        <v/>
      </c>
      <c r="M48" s="7">
        <f>L48+M46</f>
        <v/>
      </c>
      <c r="N48" s="7">
        <f>M48+N46</f>
        <v/>
      </c>
      <c r="O48" s="7">
        <f>N48+O46</f>
        <v/>
      </c>
      <c r="P48" s="7">
        <f>O48+P46</f>
        <v/>
      </c>
      <c r="Q48" s="7">
        <f>P48+Q46</f>
        <v/>
      </c>
      <c r="R48" s="7">
        <f>Q48+R46</f>
        <v/>
      </c>
      <c r="S48" s="7">
        <f>R48+S46</f>
        <v/>
      </c>
      <c r="T48" s="7">
        <f>S48+T46</f>
        <v/>
      </c>
      <c r="U48" s="7">
        <f>T48+U46</f>
        <v/>
      </c>
      <c r="V48" s="7">
        <f>U48+V46</f>
        <v/>
      </c>
      <c r="W48" s="7">
        <f>V48+W46</f>
        <v/>
      </c>
      <c r="X48" s="7">
        <f>W48+X46</f>
        <v/>
      </c>
      <c r="Y48" s="7">
        <f>X48+Y46</f>
        <v/>
      </c>
      <c r="Z48" s="7">
        <f>Y48+Z46</f>
        <v/>
      </c>
    </row>
    <row r="49">
      <c r="A49" t="inlineStr">
        <is>
          <t>נטו מצטבר - עברית+אנגלית</t>
        </is>
      </c>
      <c r="B49" s="6" t="n"/>
      <c r="C49" s="7">
        <f>C47</f>
        <v/>
      </c>
      <c r="D49" s="7">
        <f>C49+D47</f>
        <v/>
      </c>
      <c r="E49" s="7">
        <f>D49+E47</f>
        <v/>
      </c>
      <c r="F49" s="7">
        <f>E49+F47</f>
        <v/>
      </c>
      <c r="G49" s="7">
        <f>F49+G47</f>
        <v/>
      </c>
      <c r="H49" s="7">
        <f>G49+H47</f>
        <v/>
      </c>
      <c r="I49" s="7">
        <f>H49+I47</f>
        <v/>
      </c>
      <c r="J49" s="7">
        <f>I49+J47</f>
        <v/>
      </c>
      <c r="K49" s="7">
        <f>J49+K47</f>
        <v/>
      </c>
      <c r="L49" s="7">
        <f>K49+L47</f>
        <v/>
      </c>
      <c r="M49" s="7">
        <f>L49+M47</f>
        <v/>
      </c>
      <c r="N49" s="7">
        <f>M49+N47</f>
        <v/>
      </c>
      <c r="O49" s="7">
        <f>N49+O47</f>
        <v/>
      </c>
      <c r="P49" s="7">
        <f>O49+P47</f>
        <v/>
      </c>
      <c r="Q49" s="7">
        <f>P49+Q47</f>
        <v/>
      </c>
      <c r="R49" s="7">
        <f>Q49+R47</f>
        <v/>
      </c>
      <c r="S49" s="7">
        <f>R49+S47</f>
        <v/>
      </c>
      <c r="T49" s="7">
        <f>S49+T47</f>
        <v/>
      </c>
      <c r="U49" s="7">
        <f>T49+U47</f>
        <v/>
      </c>
      <c r="V49" s="7">
        <f>U49+V47</f>
        <v/>
      </c>
      <c r="W49" s="7">
        <f>V49+W47</f>
        <v/>
      </c>
      <c r="X49" s="7">
        <f>W49+X47</f>
        <v/>
      </c>
      <c r="Y49" s="7">
        <f>X49+Y47</f>
        <v/>
      </c>
      <c r="Z49" s="7">
        <f>Y49+Z47</f>
        <v/>
      </c>
    </row>
    <row r="50">
      <c r="A50" t="inlineStr">
        <is>
          <t>נטו מצטבר כולל ערך זמן פיתוח - עברית בלבד</t>
        </is>
      </c>
      <c r="B50" s="6" t="n"/>
      <c r="C50" s="7">
        <f>C48-SUM(Costs!$C$15:C$15)</f>
        <v/>
      </c>
      <c r="D50" s="7">
        <f>D48-SUM(Costs!$C$15:D$15)</f>
        <v/>
      </c>
      <c r="E50" s="7">
        <f>E48-SUM(Costs!$C$15:E$15)</f>
        <v/>
      </c>
      <c r="F50" s="7">
        <f>F48-SUM(Costs!$C$15:F$15)</f>
        <v/>
      </c>
      <c r="G50" s="7">
        <f>G48-SUM(Costs!$C$15:G$15)</f>
        <v/>
      </c>
      <c r="H50" s="7">
        <f>H48-SUM(Costs!$C$15:H$15)</f>
        <v/>
      </c>
      <c r="I50" s="7">
        <f>I48-SUM(Costs!$C$15:I$15)</f>
        <v/>
      </c>
      <c r="J50" s="7">
        <f>J48-SUM(Costs!$C$15:J$15)</f>
        <v/>
      </c>
      <c r="K50" s="7">
        <f>K48-SUM(Costs!$C$15:K$15)</f>
        <v/>
      </c>
      <c r="L50" s="7">
        <f>L48-SUM(Costs!$C$15:L$15)</f>
        <v/>
      </c>
      <c r="M50" s="7">
        <f>M48-SUM(Costs!$C$15:M$15)</f>
        <v/>
      </c>
      <c r="N50" s="7">
        <f>N48-SUM(Costs!$C$15:N$15)</f>
        <v/>
      </c>
      <c r="O50" s="7">
        <f>O48-SUM(Costs!$C$15:O$15)</f>
        <v/>
      </c>
      <c r="P50" s="7">
        <f>P48-SUM(Costs!$C$15:P$15)</f>
        <v/>
      </c>
      <c r="Q50" s="7">
        <f>Q48-SUM(Costs!$C$15:Q$15)</f>
        <v/>
      </c>
      <c r="R50" s="7">
        <f>R48-SUM(Costs!$C$15:R$15)</f>
        <v/>
      </c>
      <c r="S50" s="7">
        <f>S48-SUM(Costs!$C$15:S$15)</f>
        <v/>
      </c>
      <c r="T50" s="7">
        <f>T48-SUM(Costs!$C$15:T$15)</f>
        <v/>
      </c>
      <c r="U50" s="7">
        <f>U48-SUM(Costs!$C$15:U$15)</f>
        <v/>
      </c>
      <c r="V50" s="7">
        <f>V48-SUM(Costs!$C$15:V$15)</f>
        <v/>
      </c>
      <c r="W50" s="7">
        <f>W48-SUM(Costs!$C$15:W$15)</f>
        <v/>
      </c>
      <c r="X50" s="7">
        <f>X48-SUM(Costs!$C$15:X$15)</f>
        <v/>
      </c>
      <c r="Y50" s="7">
        <f>Y48-SUM(Costs!$C$15:Y$15)</f>
        <v/>
      </c>
      <c r="Z50" s="7">
        <f>Z48-SUM(Costs!$C$15:Z$15)</f>
        <v/>
      </c>
    </row>
    <row r="51">
      <c r="A51" t="inlineStr">
        <is>
          <t>נטו מצטבר כולל ערך זמן פיתוח - עברית+אנגלית</t>
        </is>
      </c>
      <c r="B51" s="6" t="n"/>
      <c r="C51" s="7">
        <f>C49-SUM(Costs!$C$15:C$15)</f>
        <v/>
      </c>
      <c r="D51" s="7">
        <f>D49-SUM(Costs!$C$15:D$15)</f>
        <v/>
      </c>
      <c r="E51" s="7">
        <f>E49-SUM(Costs!$C$15:E$15)</f>
        <v/>
      </c>
      <c r="F51" s="7">
        <f>F49-SUM(Costs!$C$15:F$15)</f>
        <v/>
      </c>
      <c r="G51" s="7">
        <f>G49-SUM(Costs!$C$15:G$15)</f>
        <v/>
      </c>
      <c r="H51" s="7">
        <f>H49-SUM(Costs!$C$15:H$15)</f>
        <v/>
      </c>
      <c r="I51" s="7">
        <f>I49-SUM(Costs!$C$15:I$15)</f>
        <v/>
      </c>
      <c r="J51" s="7">
        <f>J49-SUM(Costs!$C$15:J$15)</f>
        <v/>
      </c>
      <c r="K51" s="7">
        <f>K49-SUM(Costs!$C$15:K$15)</f>
        <v/>
      </c>
      <c r="L51" s="7">
        <f>L49-SUM(Costs!$C$15:L$15)</f>
        <v/>
      </c>
      <c r="M51" s="7">
        <f>M49-SUM(Costs!$C$15:M$15)</f>
        <v/>
      </c>
      <c r="N51" s="7">
        <f>N49-SUM(Costs!$C$15:N$15)</f>
        <v/>
      </c>
      <c r="O51" s="7">
        <f>O49-SUM(Costs!$C$15:O$15)</f>
        <v/>
      </c>
      <c r="P51" s="7">
        <f>P49-SUM(Costs!$C$15:P$15)</f>
        <v/>
      </c>
      <c r="Q51" s="7">
        <f>Q49-SUM(Costs!$C$15:Q$15)</f>
        <v/>
      </c>
      <c r="R51" s="7">
        <f>R49-SUM(Costs!$C$15:R$15)</f>
        <v/>
      </c>
      <c r="S51" s="7">
        <f>S49-SUM(Costs!$C$15:S$15)</f>
        <v/>
      </c>
      <c r="T51" s="7">
        <f>T49-SUM(Costs!$C$15:T$15)</f>
        <v/>
      </c>
      <c r="U51" s="7">
        <f>U49-SUM(Costs!$C$15:U$15)</f>
        <v/>
      </c>
      <c r="V51" s="7">
        <f>V49-SUM(Costs!$C$15:V$15)</f>
        <v/>
      </c>
      <c r="W51" s="7">
        <f>W49-SUM(Costs!$C$15:W$15)</f>
        <v/>
      </c>
      <c r="X51" s="7">
        <f>X49-SUM(Costs!$C$15:X$15)</f>
        <v/>
      </c>
      <c r="Y51" s="7">
        <f>Y49-SUM(Costs!$C$15:Y$15)</f>
        <v/>
      </c>
      <c r="Z51" s="7">
        <f>Z49-SUM(Costs!$C$15:Z$15)</f>
        <v/>
      </c>
    </row>
    <row r="52">
      <c r="A52" t="inlineStr">
        <is>
          <t>עזר: חודש כשהמצטבר &gt;=0 (cum_he)</t>
        </is>
      </c>
      <c r="B52" s="6">
        <f>IF(COUNT(C52:Z52)=0,"לא בתוך 24 חודשים",MIN(C52:Z52))</f>
        <v/>
      </c>
      <c r="C52" s="7">
        <f>IF(C48&gt;=0,C$3,"")</f>
        <v/>
      </c>
      <c r="D52" s="7">
        <f>IF(D48&gt;=0,D$3,"")</f>
        <v/>
      </c>
      <c r="E52" s="7">
        <f>IF(E48&gt;=0,E$3,"")</f>
        <v/>
      </c>
      <c r="F52" s="7">
        <f>IF(F48&gt;=0,F$3,"")</f>
        <v/>
      </c>
      <c r="G52" s="7">
        <f>IF(G48&gt;=0,G$3,"")</f>
        <v/>
      </c>
      <c r="H52" s="7">
        <f>IF(H48&gt;=0,H$3,"")</f>
        <v/>
      </c>
      <c r="I52" s="7">
        <f>IF(I48&gt;=0,I$3,"")</f>
        <v/>
      </c>
      <c r="J52" s="7">
        <f>IF(J48&gt;=0,J$3,"")</f>
        <v/>
      </c>
      <c r="K52" s="7">
        <f>IF(K48&gt;=0,K$3,"")</f>
        <v/>
      </c>
      <c r="L52" s="7">
        <f>IF(L48&gt;=0,L$3,"")</f>
        <v/>
      </c>
      <c r="M52" s="7">
        <f>IF(M48&gt;=0,M$3,"")</f>
        <v/>
      </c>
      <c r="N52" s="7">
        <f>IF(N48&gt;=0,N$3,"")</f>
        <v/>
      </c>
      <c r="O52" s="7">
        <f>IF(O48&gt;=0,O$3,"")</f>
        <v/>
      </c>
      <c r="P52" s="7">
        <f>IF(P48&gt;=0,P$3,"")</f>
        <v/>
      </c>
      <c r="Q52" s="7">
        <f>IF(Q48&gt;=0,Q$3,"")</f>
        <v/>
      </c>
      <c r="R52" s="7">
        <f>IF(R48&gt;=0,R$3,"")</f>
        <v/>
      </c>
      <c r="S52" s="7">
        <f>IF(S48&gt;=0,S$3,"")</f>
        <v/>
      </c>
      <c r="T52" s="7">
        <f>IF(T48&gt;=0,T$3,"")</f>
        <v/>
      </c>
      <c r="U52" s="7">
        <f>IF(U48&gt;=0,U$3,"")</f>
        <v/>
      </c>
      <c r="V52" s="7">
        <f>IF(V48&gt;=0,V$3,"")</f>
        <v/>
      </c>
      <c r="W52" s="7">
        <f>IF(W48&gt;=0,W$3,"")</f>
        <v/>
      </c>
      <c r="X52" s="7">
        <f>IF(X48&gt;=0,X$3,"")</f>
        <v/>
      </c>
      <c r="Y52" s="7">
        <f>IF(Y48&gt;=0,Y$3,"")</f>
        <v/>
      </c>
      <c r="Z52" s="7">
        <f>IF(Z48&gt;=0,Z$3,"")</f>
        <v/>
      </c>
    </row>
    <row r="53">
      <c r="A53" t="inlineStr">
        <is>
          <t>עזר: חודש כשהמצטבר &gt;=0 (cum_all)</t>
        </is>
      </c>
      <c r="B53" s="6">
        <f>IF(COUNT(C53:Z53)=0,"לא בתוך 24 חודשים",MIN(C53:Z53))</f>
        <v/>
      </c>
      <c r="C53" s="7">
        <f>IF(C49&gt;=0,C$3,"")</f>
        <v/>
      </c>
      <c r="D53" s="7">
        <f>IF(D49&gt;=0,D$3,"")</f>
        <v/>
      </c>
      <c r="E53" s="7">
        <f>IF(E49&gt;=0,E$3,"")</f>
        <v/>
      </c>
      <c r="F53" s="7">
        <f>IF(F49&gt;=0,F$3,"")</f>
        <v/>
      </c>
      <c r="G53" s="7">
        <f>IF(G49&gt;=0,G$3,"")</f>
        <v/>
      </c>
      <c r="H53" s="7">
        <f>IF(H49&gt;=0,H$3,"")</f>
        <v/>
      </c>
      <c r="I53" s="7">
        <f>IF(I49&gt;=0,I$3,"")</f>
        <v/>
      </c>
      <c r="J53" s="7">
        <f>IF(J49&gt;=0,J$3,"")</f>
        <v/>
      </c>
      <c r="K53" s="7">
        <f>IF(K49&gt;=0,K$3,"")</f>
        <v/>
      </c>
      <c r="L53" s="7">
        <f>IF(L49&gt;=0,L$3,"")</f>
        <v/>
      </c>
      <c r="M53" s="7">
        <f>IF(M49&gt;=0,M$3,"")</f>
        <v/>
      </c>
      <c r="N53" s="7">
        <f>IF(N49&gt;=0,N$3,"")</f>
        <v/>
      </c>
      <c r="O53" s="7">
        <f>IF(O49&gt;=0,O$3,"")</f>
        <v/>
      </c>
      <c r="P53" s="7">
        <f>IF(P49&gt;=0,P$3,"")</f>
        <v/>
      </c>
      <c r="Q53" s="7">
        <f>IF(Q49&gt;=0,Q$3,"")</f>
        <v/>
      </c>
      <c r="R53" s="7">
        <f>IF(R49&gt;=0,R$3,"")</f>
        <v/>
      </c>
      <c r="S53" s="7">
        <f>IF(S49&gt;=0,S$3,"")</f>
        <v/>
      </c>
      <c r="T53" s="7">
        <f>IF(T49&gt;=0,T$3,"")</f>
        <v/>
      </c>
      <c r="U53" s="7">
        <f>IF(U49&gt;=0,U$3,"")</f>
        <v/>
      </c>
      <c r="V53" s="7">
        <f>IF(V49&gt;=0,V$3,"")</f>
        <v/>
      </c>
      <c r="W53" s="7">
        <f>IF(W49&gt;=0,W$3,"")</f>
        <v/>
      </c>
      <c r="X53" s="7">
        <f>IF(X49&gt;=0,X$3,"")</f>
        <v/>
      </c>
      <c r="Y53" s="7">
        <f>IF(Y49&gt;=0,Y$3,"")</f>
        <v/>
      </c>
      <c r="Z53" s="7">
        <f>IF(Z49&gt;=0,Z$3,"")</f>
        <v/>
      </c>
    </row>
    <row r="54">
      <c r="A54" t="inlineStr">
        <is>
          <t>עזר: חודש כשהמצטבר &gt;=0 (cumd_he)</t>
        </is>
      </c>
      <c r="B54" s="6">
        <f>IF(COUNT(C54:Z54)=0,"לא בתוך 24 חודשים",MIN(C54:Z54))</f>
        <v/>
      </c>
      <c r="C54" s="7">
        <f>IF(C50&gt;=0,C$3,"")</f>
        <v/>
      </c>
      <c r="D54" s="7">
        <f>IF(D50&gt;=0,D$3,"")</f>
        <v/>
      </c>
      <c r="E54" s="7">
        <f>IF(E50&gt;=0,E$3,"")</f>
        <v/>
      </c>
      <c r="F54" s="7">
        <f>IF(F50&gt;=0,F$3,"")</f>
        <v/>
      </c>
      <c r="G54" s="7">
        <f>IF(G50&gt;=0,G$3,"")</f>
        <v/>
      </c>
      <c r="H54" s="7">
        <f>IF(H50&gt;=0,H$3,"")</f>
        <v/>
      </c>
      <c r="I54" s="7">
        <f>IF(I50&gt;=0,I$3,"")</f>
        <v/>
      </c>
      <c r="J54" s="7">
        <f>IF(J50&gt;=0,J$3,"")</f>
        <v/>
      </c>
      <c r="K54" s="7">
        <f>IF(K50&gt;=0,K$3,"")</f>
        <v/>
      </c>
      <c r="L54" s="7">
        <f>IF(L50&gt;=0,L$3,"")</f>
        <v/>
      </c>
      <c r="M54" s="7">
        <f>IF(M50&gt;=0,M$3,"")</f>
        <v/>
      </c>
      <c r="N54" s="7">
        <f>IF(N50&gt;=0,N$3,"")</f>
        <v/>
      </c>
      <c r="O54" s="7">
        <f>IF(O50&gt;=0,O$3,"")</f>
        <v/>
      </c>
      <c r="P54" s="7">
        <f>IF(P50&gt;=0,P$3,"")</f>
        <v/>
      </c>
      <c r="Q54" s="7">
        <f>IF(Q50&gt;=0,Q$3,"")</f>
        <v/>
      </c>
      <c r="R54" s="7">
        <f>IF(R50&gt;=0,R$3,"")</f>
        <v/>
      </c>
      <c r="S54" s="7">
        <f>IF(S50&gt;=0,S$3,"")</f>
        <v/>
      </c>
      <c r="T54" s="7">
        <f>IF(T50&gt;=0,T$3,"")</f>
        <v/>
      </c>
      <c r="U54" s="7">
        <f>IF(U50&gt;=0,U$3,"")</f>
        <v/>
      </c>
      <c r="V54" s="7">
        <f>IF(V50&gt;=0,V$3,"")</f>
        <v/>
      </c>
      <c r="W54" s="7">
        <f>IF(W50&gt;=0,W$3,"")</f>
        <v/>
      </c>
      <c r="X54" s="7">
        <f>IF(X50&gt;=0,X$3,"")</f>
        <v/>
      </c>
      <c r="Y54" s="7">
        <f>IF(Y50&gt;=0,Y$3,"")</f>
        <v/>
      </c>
      <c r="Z54" s="7">
        <f>IF(Z50&gt;=0,Z$3,"")</f>
        <v/>
      </c>
    </row>
    <row r="55">
      <c r="A55" t="inlineStr">
        <is>
          <t>עזר: חודש כשהמצטבר &gt;=0 (cumd_all)</t>
        </is>
      </c>
      <c r="B55" s="6">
        <f>IF(COUNT(C55:Z55)=0,"לא בתוך 24 חודשים",MIN(C55:Z55))</f>
        <v/>
      </c>
      <c r="C55" s="7">
        <f>IF(C51&gt;=0,C$3,"")</f>
        <v/>
      </c>
      <c r="D55" s="7">
        <f>IF(D51&gt;=0,D$3,"")</f>
        <v/>
      </c>
      <c r="E55" s="7">
        <f>IF(E51&gt;=0,E$3,"")</f>
        <v/>
      </c>
      <c r="F55" s="7">
        <f>IF(F51&gt;=0,F$3,"")</f>
        <v/>
      </c>
      <c r="G55" s="7">
        <f>IF(G51&gt;=0,G$3,"")</f>
        <v/>
      </c>
      <c r="H55" s="7">
        <f>IF(H51&gt;=0,H$3,"")</f>
        <v/>
      </c>
      <c r="I55" s="7">
        <f>IF(I51&gt;=0,I$3,"")</f>
        <v/>
      </c>
      <c r="J55" s="7">
        <f>IF(J51&gt;=0,J$3,"")</f>
        <v/>
      </c>
      <c r="K55" s="7">
        <f>IF(K51&gt;=0,K$3,"")</f>
        <v/>
      </c>
      <c r="L55" s="7">
        <f>IF(L51&gt;=0,L$3,"")</f>
        <v/>
      </c>
      <c r="M55" s="7">
        <f>IF(M51&gt;=0,M$3,"")</f>
        <v/>
      </c>
      <c r="N55" s="7">
        <f>IF(N51&gt;=0,N$3,"")</f>
        <v/>
      </c>
      <c r="O55" s="7">
        <f>IF(O51&gt;=0,O$3,"")</f>
        <v/>
      </c>
      <c r="P55" s="7">
        <f>IF(P51&gt;=0,P$3,"")</f>
        <v/>
      </c>
      <c r="Q55" s="7">
        <f>IF(Q51&gt;=0,Q$3,"")</f>
        <v/>
      </c>
      <c r="R55" s="7">
        <f>IF(R51&gt;=0,R$3,"")</f>
        <v/>
      </c>
      <c r="S55" s="7">
        <f>IF(S51&gt;=0,S$3,"")</f>
        <v/>
      </c>
      <c r="T55" s="7">
        <f>IF(T51&gt;=0,T$3,"")</f>
        <v/>
      </c>
      <c r="U55" s="7">
        <f>IF(U51&gt;=0,U$3,"")</f>
        <v/>
      </c>
      <c r="V55" s="7">
        <f>IF(V51&gt;=0,V$3,"")</f>
        <v/>
      </c>
      <c r="W55" s="7">
        <f>IF(W51&gt;=0,W$3,"")</f>
        <v/>
      </c>
      <c r="X55" s="7">
        <f>IF(X51&gt;=0,X$3,"")</f>
        <v/>
      </c>
      <c r="Y55" s="7">
        <f>IF(Y51&gt;=0,Y$3,"")</f>
        <v/>
      </c>
      <c r="Z55" s="7">
        <f>IF(Z51&gt;=0,Z$3,"")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5"/>
  <sheetViews>
    <sheetView rightToLeft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</cols>
  <sheetData>
    <row r="1">
      <c r="A1" s="1" t="inlineStr">
        <is>
          <t>חישוב חודשי - תרחיש Calc_Base</t>
        </is>
      </c>
    </row>
    <row r="3">
      <c r="A3" s="1" t="inlineStr">
        <is>
          <t>חודש</t>
        </is>
      </c>
      <c r="B3" t="inlineStr">
        <is>
          <t>סה"כ</t>
        </is>
      </c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  <c r="H3" s="3" t="n">
        <v>6</v>
      </c>
      <c r="I3" s="3" t="n">
        <v>7</v>
      </c>
      <c r="J3" s="3" t="n">
        <v>8</v>
      </c>
      <c r="K3" s="3" t="n">
        <v>9</v>
      </c>
      <c r="L3" s="3" t="n">
        <v>10</v>
      </c>
      <c r="M3" s="3" t="n">
        <v>11</v>
      </c>
      <c r="N3" s="3" t="n">
        <v>12</v>
      </c>
      <c r="O3" s="3" t="n">
        <v>13</v>
      </c>
      <c r="P3" s="3" t="n">
        <v>14</v>
      </c>
      <c r="Q3" s="3" t="n">
        <v>15</v>
      </c>
      <c r="R3" s="3" t="n">
        <v>16</v>
      </c>
      <c r="S3" s="3" t="n">
        <v>17</v>
      </c>
      <c r="T3" s="3" t="n">
        <v>18</v>
      </c>
      <c r="U3" s="3" t="n">
        <v>19</v>
      </c>
      <c r="V3" s="3" t="n">
        <v>20</v>
      </c>
      <c r="W3" s="3" t="n">
        <v>21</v>
      </c>
      <c r="X3" s="3" t="n">
        <v>22</v>
      </c>
      <c r="Y3" s="3" t="n">
        <v>23</v>
      </c>
      <c r="Z3" s="3" t="n">
        <v>24</v>
      </c>
    </row>
    <row r="4">
      <c r="A4" s="1" t="inlineStr">
        <is>
          <t>-- שוק עברית --</t>
        </is>
      </c>
    </row>
    <row r="5">
      <c r="A5" t="inlineStr">
        <is>
          <t>HE: התקנות אורגניות</t>
        </is>
      </c>
      <c r="B5" s="6">
        <f>SUM(C5:Z5)</f>
        <v/>
      </c>
      <c r="C5" s="7">
        <f>Assumptions!$D$28*(1+Assumptions!$D$29)^(C$3-1)</f>
        <v/>
      </c>
      <c r="D5" s="7">
        <f>Assumptions!$D$28*(1+Assumptions!$D$29)^(D$3-1)</f>
        <v/>
      </c>
      <c r="E5" s="7">
        <f>Assumptions!$D$28*(1+Assumptions!$D$29)^(E$3-1)</f>
        <v/>
      </c>
      <c r="F5" s="7">
        <f>Assumptions!$D$28*(1+Assumptions!$D$29)^(F$3-1)</f>
        <v/>
      </c>
      <c r="G5" s="7">
        <f>Assumptions!$D$28*(1+Assumptions!$D$29)^(G$3-1)</f>
        <v/>
      </c>
      <c r="H5" s="7">
        <f>Assumptions!$D$28*(1+Assumptions!$D$29)^(H$3-1)</f>
        <v/>
      </c>
      <c r="I5" s="7">
        <f>Assumptions!$D$28*(1+Assumptions!$D$29)^(I$3-1)</f>
        <v/>
      </c>
      <c r="J5" s="7">
        <f>Assumptions!$D$28*(1+Assumptions!$D$29)^(J$3-1)</f>
        <v/>
      </c>
      <c r="K5" s="7">
        <f>Assumptions!$D$28*(1+Assumptions!$D$29)^(K$3-1)</f>
        <v/>
      </c>
      <c r="L5" s="7">
        <f>Assumptions!$D$28*(1+Assumptions!$D$29)^(L$3-1)</f>
        <v/>
      </c>
      <c r="M5" s="7">
        <f>Assumptions!$D$28*(1+Assumptions!$D$29)^(M$3-1)</f>
        <v/>
      </c>
      <c r="N5" s="7">
        <f>Assumptions!$D$28*(1+Assumptions!$D$29)^(N$3-1)</f>
        <v/>
      </c>
      <c r="O5" s="7">
        <f>Assumptions!$D$28*(1+Assumptions!$D$29)^(O$3-1)</f>
        <v/>
      </c>
      <c r="P5" s="7">
        <f>Assumptions!$D$28*(1+Assumptions!$D$29)^(P$3-1)</f>
        <v/>
      </c>
      <c r="Q5" s="7">
        <f>Assumptions!$D$28*(1+Assumptions!$D$29)^(Q$3-1)</f>
        <v/>
      </c>
      <c r="R5" s="7">
        <f>Assumptions!$D$28*(1+Assumptions!$D$29)^(R$3-1)</f>
        <v/>
      </c>
      <c r="S5" s="7">
        <f>Assumptions!$D$28*(1+Assumptions!$D$29)^(S$3-1)</f>
        <v/>
      </c>
      <c r="T5" s="7">
        <f>Assumptions!$D$28*(1+Assumptions!$D$29)^(T$3-1)</f>
        <v/>
      </c>
      <c r="U5" s="7">
        <f>Assumptions!$D$28*(1+Assumptions!$D$29)^(U$3-1)</f>
        <v/>
      </c>
      <c r="V5" s="7">
        <f>Assumptions!$D$28*(1+Assumptions!$D$29)^(V$3-1)</f>
        <v/>
      </c>
      <c r="W5" s="7">
        <f>Assumptions!$D$28*(1+Assumptions!$D$29)^(W$3-1)</f>
        <v/>
      </c>
      <c r="X5" s="7">
        <f>Assumptions!$D$28*(1+Assumptions!$D$29)^(X$3-1)</f>
        <v/>
      </c>
      <c r="Y5" s="7">
        <f>Assumptions!$D$28*(1+Assumptions!$D$29)^(Y$3-1)</f>
        <v/>
      </c>
      <c r="Z5" s="7">
        <f>Assumptions!$D$28*(1+Assumptions!$D$29)^(Z$3-1)</f>
        <v/>
      </c>
    </row>
    <row r="6">
      <c r="A6" t="inlineStr">
        <is>
          <t>HE: הוצאת פרסום בתשלום (₪)</t>
        </is>
      </c>
      <c r="B6" s="6">
        <f>SUM(C6:Z6)</f>
        <v/>
      </c>
      <c r="C6" s="7">
        <f>IF(AND(C$3&gt;=Assumptions!$D$34,C$3&lt;=Assumptions!$D$35),Assumptions!$D$33,0)</f>
        <v/>
      </c>
      <c r="D6" s="7">
        <f>IF(AND(D$3&gt;=Assumptions!$D$34,D$3&lt;=Assumptions!$D$35),Assumptions!$D$33,0)</f>
        <v/>
      </c>
      <c r="E6" s="7">
        <f>IF(AND(E$3&gt;=Assumptions!$D$34,E$3&lt;=Assumptions!$D$35),Assumptions!$D$33,0)</f>
        <v/>
      </c>
      <c r="F6" s="7">
        <f>IF(AND(F$3&gt;=Assumptions!$D$34,F$3&lt;=Assumptions!$D$35),Assumptions!$D$33,0)</f>
        <v/>
      </c>
      <c r="G6" s="7">
        <f>IF(AND(G$3&gt;=Assumptions!$D$34,G$3&lt;=Assumptions!$D$35),Assumptions!$D$33,0)</f>
        <v/>
      </c>
      <c r="H6" s="7">
        <f>IF(AND(H$3&gt;=Assumptions!$D$34,H$3&lt;=Assumptions!$D$35),Assumptions!$D$33,0)</f>
        <v/>
      </c>
      <c r="I6" s="7">
        <f>IF(AND(I$3&gt;=Assumptions!$D$34,I$3&lt;=Assumptions!$D$35),Assumptions!$D$33,0)</f>
        <v/>
      </c>
      <c r="J6" s="7">
        <f>IF(AND(J$3&gt;=Assumptions!$D$34,J$3&lt;=Assumptions!$D$35),Assumptions!$D$33,0)</f>
        <v/>
      </c>
      <c r="K6" s="7">
        <f>IF(AND(K$3&gt;=Assumptions!$D$34,K$3&lt;=Assumptions!$D$35),Assumptions!$D$33,0)</f>
        <v/>
      </c>
      <c r="L6" s="7">
        <f>IF(AND(L$3&gt;=Assumptions!$D$34,L$3&lt;=Assumptions!$D$35),Assumptions!$D$33,0)</f>
        <v/>
      </c>
      <c r="M6" s="7">
        <f>IF(AND(M$3&gt;=Assumptions!$D$34,M$3&lt;=Assumptions!$D$35),Assumptions!$D$33,0)</f>
        <v/>
      </c>
      <c r="N6" s="7">
        <f>IF(AND(N$3&gt;=Assumptions!$D$34,N$3&lt;=Assumptions!$D$35),Assumptions!$D$33,0)</f>
        <v/>
      </c>
      <c r="O6" s="7">
        <f>IF(AND(O$3&gt;=Assumptions!$D$34,O$3&lt;=Assumptions!$D$35),Assumptions!$D$33,0)</f>
        <v/>
      </c>
      <c r="P6" s="7">
        <f>IF(AND(P$3&gt;=Assumptions!$D$34,P$3&lt;=Assumptions!$D$35),Assumptions!$D$33,0)</f>
        <v/>
      </c>
      <c r="Q6" s="7">
        <f>IF(AND(Q$3&gt;=Assumptions!$D$34,Q$3&lt;=Assumptions!$D$35),Assumptions!$D$33,0)</f>
        <v/>
      </c>
      <c r="R6" s="7">
        <f>IF(AND(R$3&gt;=Assumptions!$D$34,R$3&lt;=Assumptions!$D$35),Assumptions!$D$33,0)</f>
        <v/>
      </c>
      <c r="S6" s="7">
        <f>IF(AND(S$3&gt;=Assumptions!$D$34,S$3&lt;=Assumptions!$D$35),Assumptions!$D$33,0)</f>
        <v/>
      </c>
      <c r="T6" s="7">
        <f>IF(AND(T$3&gt;=Assumptions!$D$34,T$3&lt;=Assumptions!$D$35),Assumptions!$D$33,0)</f>
        <v/>
      </c>
      <c r="U6" s="7">
        <f>IF(AND(U$3&gt;=Assumptions!$D$34,U$3&lt;=Assumptions!$D$35),Assumptions!$D$33,0)</f>
        <v/>
      </c>
      <c r="V6" s="7">
        <f>IF(AND(V$3&gt;=Assumptions!$D$34,V$3&lt;=Assumptions!$D$35),Assumptions!$D$33,0)</f>
        <v/>
      </c>
      <c r="W6" s="7">
        <f>IF(AND(W$3&gt;=Assumptions!$D$34,W$3&lt;=Assumptions!$D$35),Assumptions!$D$33,0)</f>
        <v/>
      </c>
      <c r="X6" s="7">
        <f>IF(AND(X$3&gt;=Assumptions!$D$34,X$3&lt;=Assumptions!$D$35),Assumptions!$D$33,0)</f>
        <v/>
      </c>
      <c r="Y6" s="7">
        <f>IF(AND(Y$3&gt;=Assumptions!$D$34,Y$3&lt;=Assumptions!$D$35),Assumptions!$D$33,0)</f>
        <v/>
      </c>
      <c r="Z6" s="7">
        <f>IF(AND(Z$3&gt;=Assumptions!$D$34,Z$3&lt;=Assumptions!$D$35),Assumptions!$D$33,0)</f>
        <v/>
      </c>
    </row>
    <row r="7">
      <c r="A7" t="inlineStr">
        <is>
          <t>HE: התקנות מפרסום בתשלום</t>
        </is>
      </c>
      <c r="B7" s="6">
        <f>SUM(C7:Z7)</f>
        <v/>
      </c>
      <c r="C7" s="7">
        <f>C6/Assumptions!$D$32</f>
        <v/>
      </c>
      <c r="D7" s="7">
        <f>D6/Assumptions!$D$32</f>
        <v/>
      </c>
      <c r="E7" s="7">
        <f>E6/Assumptions!$D$32</f>
        <v/>
      </c>
      <c r="F7" s="7">
        <f>F6/Assumptions!$D$32</f>
        <v/>
      </c>
      <c r="G7" s="7">
        <f>G6/Assumptions!$D$32</f>
        <v/>
      </c>
      <c r="H7" s="7">
        <f>H6/Assumptions!$D$32</f>
        <v/>
      </c>
      <c r="I7" s="7">
        <f>I6/Assumptions!$D$32</f>
        <v/>
      </c>
      <c r="J7" s="7">
        <f>J6/Assumptions!$D$32</f>
        <v/>
      </c>
      <c r="K7" s="7">
        <f>K6/Assumptions!$D$32</f>
        <v/>
      </c>
      <c r="L7" s="7">
        <f>L6/Assumptions!$D$32</f>
        <v/>
      </c>
      <c r="M7" s="7">
        <f>M6/Assumptions!$D$32</f>
        <v/>
      </c>
      <c r="N7" s="7">
        <f>N6/Assumptions!$D$32</f>
        <v/>
      </c>
      <c r="O7" s="7">
        <f>O6/Assumptions!$D$32</f>
        <v/>
      </c>
      <c r="P7" s="7">
        <f>P6/Assumptions!$D$32</f>
        <v/>
      </c>
      <c r="Q7" s="7">
        <f>Q6/Assumptions!$D$32</f>
        <v/>
      </c>
      <c r="R7" s="7">
        <f>R6/Assumptions!$D$32</f>
        <v/>
      </c>
      <c r="S7" s="7">
        <f>S6/Assumptions!$D$32</f>
        <v/>
      </c>
      <c r="T7" s="7">
        <f>T6/Assumptions!$D$32</f>
        <v/>
      </c>
      <c r="U7" s="7">
        <f>U6/Assumptions!$D$32</f>
        <v/>
      </c>
      <c r="V7" s="7">
        <f>V6/Assumptions!$D$32</f>
        <v/>
      </c>
      <c r="W7" s="7">
        <f>W6/Assumptions!$D$32</f>
        <v/>
      </c>
      <c r="X7" s="7">
        <f>X6/Assumptions!$D$32</f>
        <v/>
      </c>
      <c r="Y7" s="7">
        <f>Y6/Assumptions!$D$32</f>
        <v/>
      </c>
      <c r="Z7" s="7">
        <f>Z6/Assumptions!$D$32</f>
        <v/>
      </c>
    </row>
    <row r="8">
      <c r="A8" t="inlineStr">
        <is>
          <t>HE: סה"כ התקנות</t>
        </is>
      </c>
      <c r="B8" s="6">
        <f>SUM(C8:Z8)</f>
        <v/>
      </c>
      <c r="C8" s="7">
        <f>C5+C7</f>
        <v/>
      </c>
      <c r="D8" s="7">
        <f>D5+D7</f>
        <v/>
      </c>
      <c r="E8" s="7">
        <f>E5+E7</f>
        <v/>
      </c>
      <c r="F8" s="7">
        <f>F5+F7</f>
        <v/>
      </c>
      <c r="G8" s="7">
        <f>G5+G7</f>
        <v/>
      </c>
      <c r="H8" s="7">
        <f>H5+H7</f>
        <v/>
      </c>
      <c r="I8" s="7">
        <f>I5+I7</f>
        <v/>
      </c>
      <c r="J8" s="7">
        <f>J5+J7</f>
        <v/>
      </c>
      <c r="K8" s="7">
        <f>K5+K7</f>
        <v/>
      </c>
      <c r="L8" s="7">
        <f>L5+L7</f>
        <v/>
      </c>
      <c r="M8" s="7">
        <f>M5+M7</f>
        <v/>
      </c>
      <c r="N8" s="7">
        <f>N5+N7</f>
        <v/>
      </c>
      <c r="O8" s="7">
        <f>O5+O7</f>
        <v/>
      </c>
      <c r="P8" s="7">
        <f>P5+P7</f>
        <v/>
      </c>
      <c r="Q8" s="7">
        <f>Q5+Q7</f>
        <v/>
      </c>
      <c r="R8" s="7">
        <f>R5+R7</f>
        <v/>
      </c>
      <c r="S8" s="7">
        <f>S5+S7</f>
        <v/>
      </c>
      <c r="T8" s="7">
        <f>T5+T7</f>
        <v/>
      </c>
      <c r="U8" s="7">
        <f>U5+U7</f>
        <v/>
      </c>
      <c r="V8" s="7">
        <f>V5+V7</f>
        <v/>
      </c>
      <c r="W8" s="7">
        <f>W5+W7</f>
        <v/>
      </c>
      <c r="X8" s="7">
        <f>X5+X7</f>
        <v/>
      </c>
      <c r="Y8" s="7">
        <f>Y5+Y7</f>
        <v/>
      </c>
      <c r="Z8" s="7">
        <f>Z5+Z7</f>
        <v/>
      </c>
    </row>
    <row r="9">
      <c r="A9" t="inlineStr">
        <is>
          <t>HE: שחקנים ותיקים (מחודש 2 ואילך, DAU)</t>
        </is>
      </c>
      <c r="B9" s="6" t="n"/>
      <c r="C9" s="7">
        <f>0</f>
        <v/>
      </c>
      <c r="D9" s="7">
        <f>Assumptions!$D$40*C9+C8*Assumptions!$D$39</f>
        <v/>
      </c>
      <c r="E9" s="7">
        <f>Assumptions!$D$40*D9+D8*Assumptions!$D$39</f>
        <v/>
      </c>
      <c r="F9" s="7">
        <f>Assumptions!$D$40*E9+E8*Assumptions!$D$39</f>
        <v/>
      </c>
      <c r="G9" s="7">
        <f>Assumptions!$D$40*F9+F8*Assumptions!$D$39</f>
        <v/>
      </c>
      <c r="H9" s="7">
        <f>Assumptions!$D$40*G9+G8*Assumptions!$D$39</f>
        <v/>
      </c>
      <c r="I9" s="7">
        <f>Assumptions!$D$40*H9+H8*Assumptions!$D$39</f>
        <v/>
      </c>
      <c r="J9" s="7">
        <f>Assumptions!$D$40*I9+I8*Assumptions!$D$39</f>
        <v/>
      </c>
      <c r="K9" s="7">
        <f>Assumptions!$D$40*J9+J8*Assumptions!$D$39</f>
        <v/>
      </c>
      <c r="L9" s="7">
        <f>Assumptions!$D$40*K9+K8*Assumptions!$D$39</f>
        <v/>
      </c>
      <c r="M9" s="7">
        <f>Assumptions!$D$40*L9+L8*Assumptions!$D$39</f>
        <v/>
      </c>
      <c r="N9" s="7">
        <f>Assumptions!$D$40*M9+M8*Assumptions!$D$39</f>
        <v/>
      </c>
      <c r="O9" s="7">
        <f>Assumptions!$D$40*N9+N8*Assumptions!$D$39</f>
        <v/>
      </c>
      <c r="P9" s="7">
        <f>Assumptions!$D$40*O9+O8*Assumptions!$D$39</f>
        <v/>
      </c>
      <c r="Q9" s="7">
        <f>Assumptions!$D$40*P9+P8*Assumptions!$D$39</f>
        <v/>
      </c>
      <c r="R9" s="7">
        <f>Assumptions!$D$40*Q9+Q8*Assumptions!$D$39</f>
        <v/>
      </c>
      <c r="S9" s="7">
        <f>Assumptions!$D$40*R9+R8*Assumptions!$D$39</f>
        <v/>
      </c>
      <c r="T9" s="7">
        <f>Assumptions!$D$40*S9+S8*Assumptions!$D$39</f>
        <v/>
      </c>
      <c r="U9" s="7">
        <f>Assumptions!$D$40*T9+T8*Assumptions!$D$39</f>
        <v/>
      </c>
      <c r="V9" s="7">
        <f>Assumptions!$D$40*U9+U8*Assumptions!$D$39</f>
        <v/>
      </c>
      <c r="W9" s="7">
        <f>Assumptions!$D$40*V9+V8*Assumptions!$D$39</f>
        <v/>
      </c>
      <c r="X9" s="7">
        <f>Assumptions!$D$40*W9+W8*Assumptions!$D$39</f>
        <v/>
      </c>
      <c r="Y9" s="7">
        <f>Assumptions!$D$40*X9+X8*Assumptions!$D$39</f>
        <v/>
      </c>
      <c r="Z9" s="7">
        <f>Assumptions!$D$40*Y9+Y8*Assumptions!$D$39</f>
        <v/>
      </c>
    </row>
    <row r="10">
      <c r="A10" t="inlineStr">
        <is>
          <t>HE: DAU ממוצע</t>
        </is>
      </c>
      <c r="B10" s="6" t="n"/>
      <c r="C10" s="7">
        <f>C8*((Assumptions!$D$37+Assumptions!$D$38+Assumptions!$D$39)/3)+C9</f>
        <v/>
      </c>
      <c r="D10" s="7">
        <f>D8*((Assumptions!$D$37+Assumptions!$D$38+Assumptions!$D$39)/3)+D9</f>
        <v/>
      </c>
      <c r="E10" s="7">
        <f>E8*((Assumptions!$D$37+Assumptions!$D$38+Assumptions!$D$39)/3)+E9</f>
        <v/>
      </c>
      <c r="F10" s="7">
        <f>F8*((Assumptions!$D$37+Assumptions!$D$38+Assumptions!$D$39)/3)+F9</f>
        <v/>
      </c>
      <c r="G10" s="7">
        <f>G8*((Assumptions!$D$37+Assumptions!$D$38+Assumptions!$D$39)/3)+G9</f>
        <v/>
      </c>
      <c r="H10" s="7">
        <f>H8*((Assumptions!$D$37+Assumptions!$D$38+Assumptions!$D$39)/3)+H9</f>
        <v/>
      </c>
      <c r="I10" s="7">
        <f>I8*((Assumptions!$D$37+Assumptions!$D$38+Assumptions!$D$39)/3)+I9</f>
        <v/>
      </c>
      <c r="J10" s="7">
        <f>J8*((Assumptions!$D$37+Assumptions!$D$38+Assumptions!$D$39)/3)+J9</f>
        <v/>
      </c>
      <c r="K10" s="7">
        <f>K8*((Assumptions!$D$37+Assumptions!$D$38+Assumptions!$D$39)/3)+K9</f>
        <v/>
      </c>
      <c r="L10" s="7">
        <f>L8*((Assumptions!$D$37+Assumptions!$D$38+Assumptions!$D$39)/3)+L9</f>
        <v/>
      </c>
      <c r="M10" s="7">
        <f>M8*((Assumptions!$D$37+Assumptions!$D$38+Assumptions!$D$39)/3)+M9</f>
        <v/>
      </c>
      <c r="N10" s="7">
        <f>N8*((Assumptions!$D$37+Assumptions!$D$38+Assumptions!$D$39)/3)+N9</f>
        <v/>
      </c>
      <c r="O10" s="7">
        <f>O8*((Assumptions!$D$37+Assumptions!$D$38+Assumptions!$D$39)/3)+O9</f>
        <v/>
      </c>
      <c r="P10" s="7">
        <f>P8*((Assumptions!$D$37+Assumptions!$D$38+Assumptions!$D$39)/3)+P9</f>
        <v/>
      </c>
      <c r="Q10" s="7">
        <f>Q8*((Assumptions!$D$37+Assumptions!$D$38+Assumptions!$D$39)/3)+Q9</f>
        <v/>
      </c>
      <c r="R10" s="7">
        <f>R8*((Assumptions!$D$37+Assumptions!$D$38+Assumptions!$D$39)/3)+R9</f>
        <v/>
      </c>
      <c r="S10" s="7">
        <f>S8*((Assumptions!$D$37+Assumptions!$D$38+Assumptions!$D$39)/3)+S9</f>
        <v/>
      </c>
      <c r="T10" s="7">
        <f>T8*((Assumptions!$D$37+Assumptions!$D$38+Assumptions!$D$39)/3)+T9</f>
        <v/>
      </c>
      <c r="U10" s="7">
        <f>U8*((Assumptions!$D$37+Assumptions!$D$38+Assumptions!$D$39)/3)+U9</f>
        <v/>
      </c>
      <c r="V10" s="7">
        <f>V8*((Assumptions!$D$37+Assumptions!$D$38+Assumptions!$D$39)/3)+V9</f>
        <v/>
      </c>
      <c r="W10" s="7">
        <f>W8*((Assumptions!$D$37+Assumptions!$D$38+Assumptions!$D$39)/3)+W9</f>
        <v/>
      </c>
      <c r="X10" s="7">
        <f>X8*((Assumptions!$D$37+Assumptions!$D$38+Assumptions!$D$39)/3)+X9</f>
        <v/>
      </c>
      <c r="Y10" s="7">
        <f>Y8*((Assumptions!$D$37+Assumptions!$D$38+Assumptions!$D$39)/3)+Y9</f>
        <v/>
      </c>
      <c r="Z10" s="7">
        <f>Z8*((Assumptions!$D$37+Assumptions!$D$38+Assumptions!$D$39)/3)+Z9</f>
        <v/>
      </c>
    </row>
    <row r="11">
      <c r="A11" t="inlineStr">
        <is>
          <t>HE: משחקים בחודש</t>
        </is>
      </c>
      <c r="B11" s="6">
        <f>SUM(C11:Z11)</f>
        <v/>
      </c>
      <c r="C11" s="7">
        <f>C10*Assumptions!$D$41*30</f>
        <v/>
      </c>
      <c r="D11" s="7">
        <f>D10*Assumptions!$D$41*30</f>
        <v/>
      </c>
      <c r="E11" s="7">
        <f>E10*Assumptions!$D$41*30</f>
        <v/>
      </c>
      <c r="F11" s="7">
        <f>F10*Assumptions!$D$41*30</f>
        <v/>
      </c>
      <c r="G11" s="7">
        <f>G10*Assumptions!$D$41*30</f>
        <v/>
      </c>
      <c r="H11" s="7">
        <f>H10*Assumptions!$D$41*30</f>
        <v/>
      </c>
      <c r="I11" s="7">
        <f>I10*Assumptions!$D$41*30</f>
        <v/>
      </c>
      <c r="J11" s="7">
        <f>J10*Assumptions!$D$41*30</f>
        <v/>
      </c>
      <c r="K11" s="7">
        <f>K10*Assumptions!$D$41*30</f>
        <v/>
      </c>
      <c r="L11" s="7">
        <f>L10*Assumptions!$D$41*30</f>
        <v/>
      </c>
      <c r="M11" s="7">
        <f>M10*Assumptions!$D$41*30</f>
        <v/>
      </c>
      <c r="N11" s="7">
        <f>N10*Assumptions!$D$41*30</f>
        <v/>
      </c>
      <c r="O11" s="7">
        <f>O10*Assumptions!$D$41*30</f>
        <v/>
      </c>
      <c r="P11" s="7">
        <f>P10*Assumptions!$D$41*30</f>
        <v/>
      </c>
      <c r="Q11" s="7">
        <f>Q10*Assumptions!$D$41*30</f>
        <v/>
      </c>
      <c r="R11" s="7">
        <f>R10*Assumptions!$D$41*30</f>
        <v/>
      </c>
      <c r="S11" s="7">
        <f>S10*Assumptions!$D$41*30</f>
        <v/>
      </c>
      <c r="T11" s="7">
        <f>T10*Assumptions!$D$41*30</f>
        <v/>
      </c>
      <c r="U11" s="7">
        <f>U10*Assumptions!$D$41*30</f>
        <v/>
      </c>
      <c r="V11" s="7">
        <f>V10*Assumptions!$D$41*30</f>
        <v/>
      </c>
      <c r="W11" s="7">
        <f>W10*Assumptions!$D$41*30</f>
        <v/>
      </c>
      <c r="X11" s="7">
        <f>X10*Assumptions!$D$41*30</f>
        <v/>
      </c>
      <c r="Y11" s="7">
        <f>Y10*Assumptions!$D$41*30</f>
        <v/>
      </c>
      <c r="Z11" s="7">
        <f>Z10*Assumptions!$D$41*30</f>
        <v/>
      </c>
    </row>
    <row r="12">
      <c r="A12" t="inlineStr">
        <is>
          <t>HE: חשיפות ביניים</t>
        </is>
      </c>
      <c r="B12" s="6">
        <f>SUM(C12:Z12)</f>
        <v/>
      </c>
      <c r="C12" s="7">
        <f>C11*Assumptions!$D$43*(1-Assumptions!$D$45)*(1-(Assumptions!$D$52*(Assumptions!$D$24+Assumptions!$D$26)))*Assumptions!$D$46</f>
        <v/>
      </c>
      <c r="D12" s="7">
        <f>D11*Assumptions!$D$43*(1-Assumptions!$D$45)*(1-(Assumptions!$D$52*(Assumptions!$D$24+Assumptions!$D$26)))*Assumptions!$D$46</f>
        <v/>
      </c>
      <c r="E12" s="7">
        <f>E11*Assumptions!$D$43*(1-Assumptions!$D$45)*(1-(Assumptions!$D$52*(Assumptions!$D$24+Assumptions!$D$26)))*Assumptions!$D$46</f>
        <v/>
      </c>
      <c r="F12" s="7">
        <f>F11*Assumptions!$D$43*(1-Assumptions!$D$45)*(1-(Assumptions!$D$52*(Assumptions!$D$24+Assumptions!$D$26)))*Assumptions!$D$46</f>
        <v/>
      </c>
      <c r="G12" s="7">
        <f>G11*Assumptions!$D$43*(1-Assumptions!$D$45)*(1-(Assumptions!$D$52*(Assumptions!$D$24+Assumptions!$D$26)))*Assumptions!$D$46</f>
        <v/>
      </c>
      <c r="H12" s="7">
        <f>H11*Assumptions!$D$43*(1-Assumptions!$D$45)*(1-(Assumptions!$D$52*(Assumptions!$D$24+Assumptions!$D$26)))*Assumptions!$D$46</f>
        <v/>
      </c>
      <c r="I12" s="7">
        <f>I11*Assumptions!$D$43*(1-Assumptions!$D$45)*(1-(Assumptions!$D$52*(Assumptions!$D$24+Assumptions!$D$26)))*Assumptions!$D$46</f>
        <v/>
      </c>
      <c r="J12" s="7">
        <f>J11*Assumptions!$D$43*(1-Assumptions!$D$45)*(1-(Assumptions!$D$52*(Assumptions!$D$24+Assumptions!$D$26)))*Assumptions!$D$46</f>
        <v/>
      </c>
      <c r="K12" s="7">
        <f>K11*Assumptions!$D$43*(1-Assumptions!$D$45)*(1-(Assumptions!$D$52*(Assumptions!$D$24+Assumptions!$D$26)))*Assumptions!$D$46</f>
        <v/>
      </c>
      <c r="L12" s="7">
        <f>L11*Assumptions!$D$43*(1-Assumptions!$D$45)*(1-(Assumptions!$D$52*(Assumptions!$D$24+Assumptions!$D$26)))*Assumptions!$D$46</f>
        <v/>
      </c>
      <c r="M12" s="7">
        <f>M11*Assumptions!$D$43*(1-Assumptions!$D$45)*(1-(Assumptions!$D$52*(Assumptions!$D$24+Assumptions!$D$26)))*Assumptions!$D$46</f>
        <v/>
      </c>
      <c r="N12" s="7">
        <f>N11*Assumptions!$D$43*(1-Assumptions!$D$45)*(1-(Assumptions!$D$52*(Assumptions!$D$24+Assumptions!$D$26)))*Assumptions!$D$46</f>
        <v/>
      </c>
      <c r="O12" s="7">
        <f>O11*Assumptions!$D$43*(1-Assumptions!$D$45)*(1-(Assumptions!$D$52*(Assumptions!$D$24+Assumptions!$D$26)))*Assumptions!$D$46</f>
        <v/>
      </c>
      <c r="P12" s="7">
        <f>P11*Assumptions!$D$43*(1-Assumptions!$D$45)*(1-(Assumptions!$D$52*(Assumptions!$D$24+Assumptions!$D$26)))*Assumptions!$D$46</f>
        <v/>
      </c>
      <c r="Q12" s="7">
        <f>Q11*Assumptions!$D$43*(1-Assumptions!$D$45)*(1-(Assumptions!$D$52*(Assumptions!$D$24+Assumptions!$D$26)))*Assumptions!$D$46</f>
        <v/>
      </c>
      <c r="R12" s="7">
        <f>R11*Assumptions!$D$43*(1-Assumptions!$D$45)*(1-(Assumptions!$D$52*(Assumptions!$D$24+Assumptions!$D$26)))*Assumptions!$D$46</f>
        <v/>
      </c>
      <c r="S12" s="7">
        <f>S11*Assumptions!$D$43*(1-Assumptions!$D$45)*(1-(Assumptions!$D$52*(Assumptions!$D$24+Assumptions!$D$26)))*Assumptions!$D$46</f>
        <v/>
      </c>
      <c r="T12" s="7">
        <f>T11*Assumptions!$D$43*(1-Assumptions!$D$45)*(1-(Assumptions!$D$52*(Assumptions!$D$24+Assumptions!$D$26)))*Assumptions!$D$46</f>
        <v/>
      </c>
      <c r="U12" s="7">
        <f>U11*Assumptions!$D$43*(1-Assumptions!$D$45)*(1-(Assumptions!$D$52*(Assumptions!$D$24+Assumptions!$D$26)))*Assumptions!$D$46</f>
        <v/>
      </c>
      <c r="V12" s="7">
        <f>V11*Assumptions!$D$43*(1-Assumptions!$D$45)*(1-(Assumptions!$D$52*(Assumptions!$D$24+Assumptions!$D$26)))*Assumptions!$D$46</f>
        <v/>
      </c>
      <c r="W12" s="7">
        <f>W11*Assumptions!$D$43*(1-Assumptions!$D$45)*(1-(Assumptions!$D$52*(Assumptions!$D$24+Assumptions!$D$26)))*Assumptions!$D$46</f>
        <v/>
      </c>
      <c r="X12" s="7">
        <f>X11*Assumptions!$D$43*(1-Assumptions!$D$45)*(1-(Assumptions!$D$52*(Assumptions!$D$24+Assumptions!$D$26)))*Assumptions!$D$46</f>
        <v/>
      </c>
      <c r="Y12" s="7">
        <f>Y11*Assumptions!$D$43*(1-Assumptions!$D$45)*(1-(Assumptions!$D$52*(Assumptions!$D$24+Assumptions!$D$26)))*Assumptions!$D$46</f>
        <v/>
      </c>
      <c r="Z12" s="7">
        <f>Z11*Assumptions!$D$43*(1-Assumptions!$D$45)*(1-(Assumptions!$D$52*(Assumptions!$D$24+Assumptions!$D$26)))*Assumptions!$D$46</f>
        <v/>
      </c>
    </row>
    <row r="13">
      <c r="A13" t="inlineStr">
        <is>
          <t>HE: חשיפות מתוגמלות</t>
        </is>
      </c>
      <c r="B13" s="6">
        <f>SUM(C13:Z13)</f>
        <v/>
      </c>
      <c r="C13" s="7">
        <f>C11*Assumptions!$D$44*Assumptions!$D$46</f>
        <v/>
      </c>
      <c r="D13" s="7">
        <f>D11*Assumptions!$D$44*Assumptions!$D$46</f>
        <v/>
      </c>
      <c r="E13" s="7">
        <f>E11*Assumptions!$D$44*Assumptions!$D$46</f>
        <v/>
      </c>
      <c r="F13" s="7">
        <f>F11*Assumptions!$D$44*Assumptions!$D$46</f>
        <v/>
      </c>
      <c r="G13" s="7">
        <f>G11*Assumptions!$D$44*Assumptions!$D$46</f>
        <v/>
      </c>
      <c r="H13" s="7">
        <f>H11*Assumptions!$D$44*Assumptions!$D$46</f>
        <v/>
      </c>
      <c r="I13" s="7">
        <f>I11*Assumptions!$D$44*Assumptions!$D$46</f>
        <v/>
      </c>
      <c r="J13" s="7">
        <f>J11*Assumptions!$D$44*Assumptions!$D$46</f>
        <v/>
      </c>
      <c r="K13" s="7">
        <f>K11*Assumptions!$D$44*Assumptions!$D$46</f>
        <v/>
      </c>
      <c r="L13" s="7">
        <f>L11*Assumptions!$D$44*Assumptions!$D$46</f>
        <v/>
      </c>
      <c r="M13" s="7">
        <f>M11*Assumptions!$D$44*Assumptions!$D$46</f>
        <v/>
      </c>
      <c r="N13" s="7">
        <f>N11*Assumptions!$D$44*Assumptions!$D$46</f>
        <v/>
      </c>
      <c r="O13" s="7">
        <f>O11*Assumptions!$D$44*Assumptions!$D$46</f>
        <v/>
      </c>
      <c r="P13" s="7">
        <f>P11*Assumptions!$D$44*Assumptions!$D$46</f>
        <v/>
      </c>
      <c r="Q13" s="7">
        <f>Q11*Assumptions!$D$44*Assumptions!$D$46</f>
        <v/>
      </c>
      <c r="R13" s="7">
        <f>R11*Assumptions!$D$44*Assumptions!$D$46</f>
        <v/>
      </c>
      <c r="S13" s="7">
        <f>S11*Assumptions!$D$44*Assumptions!$D$46</f>
        <v/>
      </c>
      <c r="T13" s="7">
        <f>T11*Assumptions!$D$44*Assumptions!$D$46</f>
        <v/>
      </c>
      <c r="U13" s="7">
        <f>U11*Assumptions!$D$44*Assumptions!$D$46</f>
        <v/>
      </c>
      <c r="V13" s="7">
        <f>V11*Assumptions!$D$44*Assumptions!$D$46</f>
        <v/>
      </c>
      <c r="W13" s="7">
        <f>W11*Assumptions!$D$44*Assumptions!$D$46</f>
        <v/>
      </c>
      <c r="X13" s="7">
        <f>X11*Assumptions!$D$44*Assumptions!$D$46</f>
        <v/>
      </c>
      <c r="Y13" s="7">
        <f>Y11*Assumptions!$D$44*Assumptions!$D$46</f>
        <v/>
      </c>
      <c r="Z13" s="7">
        <f>Z11*Assumptions!$D$44*Assumptions!$D$46</f>
        <v/>
      </c>
    </row>
    <row r="14">
      <c r="A14" t="inlineStr">
        <is>
          <t>HE: הכנסת פרסום ($)</t>
        </is>
      </c>
      <c r="B14" s="6">
        <f>SUM(C14:Z14)</f>
        <v/>
      </c>
      <c r="C14" s="7">
        <f>(C12*Assumptions!$D$48+C13*Assumptions!$D$47)/1000</f>
        <v/>
      </c>
      <c r="D14" s="7">
        <f>(D12*Assumptions!$D$48+D13*Assumptions!$D$47)/1000</f>
        <v/>
      </c>
      <c r="E14" s="7">
        <f>(E12*Assumptions!$D$48+E13*Assumptions!$D$47)/1000</f>
        <v/>
      </c>
      <c r="F14" s="7">
        <f>(F12*Assumptions!$D$48+F13*Assumptions!$D$47)/1000</f>
        <v/>
      </c>
      <c r="G14" s="7">
        <f>(G12*Assumptions!$D$48+G13*Assumptions!$D$47)/1000</f>
        <v/>
      </c>
      <c r="H14" s="7">
        <f>(H12*Assumptions!$D$48+H13*Assumptions!$D$47)/1000</f>
        <v/>
      </c>
      <c r="I14" s="7">
        <f>(I12*Assumptions!$D$48+I13*Assumptions!$D$47)/1000</f>
        <v/>
      </c>
      <c r="J14" s="7">
        <f>(J12*Assumptions!$D$48+J13*Assumptions!$D$47)/1000</f>
        <v/>
      </c>
      <c r="K14" s="7">
        <f>(K12*Assumptions!$D$48+K13*Assumptions!$D$47)/1000</f>
        <v/>
      </c>
      <c r="L14" s="7">
        <f>(L12*Assumptions!$D$48+L13*Assumptions!$D$47)/1000</f>
        <v/>
      </c>
      <c r="M14" s="7">
        <f>(M12*Assumptions!$D$48+M13*Assumptions!$D$47)/1000</f>
        <v/>
      </c>
      <c r="N14" s="7">
        <f>(N12*Assumptions!$D$48+N13*Assumptions!$D$47)/1000</f>
        <v/>
      </c>
      <c r="O14" s="7">
        <f>(O12*Assumptions!$D$48+O13*Assumptions!$D$47)/1000</f>
        <v/>
      </c>
      <c r="P14" s="7">
        <f>(P12*Assumptions!$D$48+P13*Assumptions!$D$47)/1000</f>
        <v/>
      </c>
      <c r="Q14" s="7">
        <f>(Q12*Assumptions!$D$48+Q13*Assumptions!$D$47)/1000</f>
        <v/>
      </c>
      <c r="R14" s="7">
        <f>(R12*Assumptions!$D$48+R13*Assumptions!$D$47)/1000</f>
        <v/>
      </c>
      <c r="S14" s="7">
        <f>(S12*Assumptions!$D$48+S13*Assumptions!$D$47)/1000</f>
        <v/>
      </c>
      <c r="T14" s="7">
        <f>(T12*Assumptions!$D$48+T13*Assumptions!$D$47)/1000</f>
        <v/>
      </c>
      <c r="U14" s="7">
        <f>(U12*Assumptions!$D$48+U13*Assumptions!$D$47)/1000</f>
        <v/>
      </c>
      <c r="V14" s="7">
        <f>(V12*Assumptions!$D$48+V13*Assumptions!$D$47)/1000</f>
        <v/>
      </c>
      <c r="W14" s="7">
        <f>(W12*Assumptions!$D$48+W13*Assumptions!$D$47)/1000</f>
        <v/>
      </c>
      <c r="X14" s="7">
        <f>(X12*Assumptions!$D$48+X13*Assumptions!$D$47)/1000</f>
        <v/>
      </c>
      <c r="Y14" s="7">
        <f>(Y12*Assumptions!$D$48+Y13*Assumptions!$D$47)/1000</f>
        <v/>
      </c>
      <c r="Z14" s="7">
        <f>(Z12*Assumptions!$D$48+Z13*Assumptions!$D$47)/1000</f>
        <v/>
      </c>
    </row>
    <row r="15">
      <c r="A15" t="inlineStr">
        <is>
          <t>HE: הכנסת פרסום (₪)</t>
        </is>
      </c>
      <c r="B15" s="6">
        <f>SUM(C15:Z15)</f>
        <v/>
      </c>
      <c r="C15" s="7">
        <f>C14*Assumptions!$D$22</f>
        <v/>
      </c>
      <c r="D15" s="7">
        <f>D14*Assumptions!$D$22</f>
        <v/>
      </c>
      <c r="E15" s="7">
        <f>E14*Assumptions!$D$22</f>
        <v/>
      </c>
      <c r="F15" s="7">
        <f>F14*Assumptions!$D$22</f>
        <v/>
      </c>
      <c r="G15" s="7">
        <f>G14*Assumptions!$D$22</f>
        <v/>
      </c>
      <c r="H15" s="7">
        <f>H14*Assumptions!$D$22</f>
        <v/>
      </c>
      <c r="I15" s="7">
        <f>I14*Assumptions!$D$22</f>
        <v/>
      </c>
      <c r="J15" s="7">
        <f>J14*Assumptions!$D$22</f>
        <v/>
      </c>
      <c r="K15" s="7">
        <f>K14*Assumptions!$D$22</f>
        <v/>
      </c>
      <c r="L15" s="7">
        <f>L14*Assumptions!$D$22</f>
        <v/>
      </c>
      <c r="M15" s="7">
        <f>M14*Assumptions!$D$22</f>
        <v/>
      </c>
      <c r="N15" s="7">
        <f>N14*Assumptions!$D$22</f>
        <v/>
      </c>
      <c r="O15" s="7">
        <f>O14*Assumptions!$D$22</f>
        <v/>
      </c>
      <c r="P15" s="7">
        <f>P14*Assumptions!$D$22</f>
        <v/>
      </c>
      <c r="Q15" s="7">
        <f>Q14*Assumptions!$D$22</f>
        <v/>
      </c>
      <c r="R15" s="7">
        <f>R14*Assumptions!$D$22</f>
        <v/>
      </c>
      <c r="S15" s="7">
        <f>S14*Assumptions!$D$22</f>
        <v/>
      </c>
      <c r="T15" s="7">
        <f>T14*Assumptions!$D$22</f>
        <v/>
      </c>
      <c r="U15" s="7">
        <f>U14*Assumptions!$D$22</f>
        <v/>
      </c>
      <c r="V15" s="7">
        <f>V14*Assumptions!$D$22</f>
        <v/>
      </c>
      <c r="W15" s="7">
        <f>W14*Assumptions!$D$22</f>
        <v/>
      </c>
      <c r="X15" s="7">
        <f>X14*Assumptions!$D$22</f>
        <v/>
      </c>
      <c r="Y15" s="7">
        <f>Y14*Assumptions!$D$22</f>
        <v/>
      </c>
      <c r="Z15" s="7">
        <f>Z14*Assumptions!$D$22</f>
        <v/>
      </c>
    </row>
    <row r="16">
      <c r="A16" t="inlineStr">
        <is>
          <t>HE: רוכשי IAP</t>
        </is>
      </c>
      <c r="B16" s="6">
        <f>SUM(C16:Z16)</f>
        <v/>
      </c>
      <c r="C16" s="7">
        <f>C8*Assumptions!$D$52</f>
        <v/>
      </c>
      <c r="D16" s="7">
        <f>D8*Assumptions!$D$52</f>
        <v/>
      </c>
      <c r="E16" s="7">
        <f>E8*Assumptions!$D$52</f>
        <v/>
      </c>
      <c r="F16" s="7">
        <f>F8*Assumptions!$D$52</f>
        <v/>
      </c>
      <c r="G16" s="7">
        <f>G8*Assumptions!$D$52</f>
        <v/>
      </c>
      <c r="H16" s="7">
        <f>H8*Assumptions!$D$52</f>
        <v/>
      </c>
      <c r="I16" s="7">
        <f>I8*Assumptions!$D$52</f>
        <v/>
      </c>
      <c r="J16" s="7">
        <f>J8*Assumptions!$D$52</f>
        <v/>
      </c>
      <c r="K16" s="7">
        <f>K8*Assumptions!$D$52</f>
        <v/>
      </c>
      <c r="L16" s="7">
        <f>L8*Assumptions!$D$52</f>
        <v/>
      </c>
      <c r="M16" s="7">
        <f>M8*Assumptions!$D$52</f>
        <v/>
      </c>
      <c r="N16" s="7">
        <f>N8*Assumptions!$D$52</f>
        <v/>
      </c>
      <c r="O16" s="7">
        <f>O8*Assumptions!$D$52</f>
        <v/>
      </c>
      <c r="P16" s="7">
        <f>P8*Assumptions!$D$52</f>
        <v/>
      </c>
      <c r="Q16" s="7">
        <f>Q8*Assumptions!$D$52</f>
        <v/>
      </c>
      <c r="R16" s="7">
        <f>R8*Assumptions!$D$52</f>
        <v/>
      </c>
      <c r="S16" s="7">
        <f>S8*Assumptions!$D$52</f>
        <v/>
      </c>
      <c r="T16" s="7">
        <f>T8*Assumptions!$D$52</f>
        <v/>
      </c>
      <c r="U16" s="7">
        <f>U8*Assumptions!$D$52</f>
        <v/>
      </c>
      <c r="V16" s="7">
        <f>V8*Assumptions!$D$52</f>
        <v/>
      </c>
      <c r="W16" s="7">
        <f>W8*Assumptions!$D$52</f>
        <v/>
      </c>
      <c r="X16" s="7">
        <f>X8*Assumptions!$D$52</f>
        <v/>
      </c>
      <c r="Y16" s="7">
        <f>Y8*Assumptions!$D$52</f>
        <v/>
      </c>
      <c r="Z16" s="7">
        <f>Z8*Assumptions!$D$52</f>
        <v/>
      </c>
    </row>
    <row r="17">
      <c r="A17" t="inlineStr">
        <is>
          <t>HE: IAP ברוטו (₪, מחיר צרכן)</t>
        </is>
      </c>
      <c r="B17" s="6">
        <f>SUM(C17:Z17)</f>
        <v/>
      </c>
      <c r="C17" s="7">
        <f>C16*(Assumptions!$D$24*Assumptions!$D$9+Assumptions!$D$25*Assumptions!$D$10+Assumptions!$D$26*Assumptions!$D$11)</f>
        <v/>
      </c>
      <c r="D17" s="7">
        <f>D16*(Assumptions!$D$24*Assumptions!$D$9+Assumptions!$D$25*Assumptions!$D$10+Assumptions!$D$26*Assumptions!$D$11)</f>
        <v/>
      </c>
      <c r="E17" s="7">
        <f>E16*(Assumptions!$D$24*Assumptions!$D$9+Assumptions!$D$25*Assumptions!$D$10+Assumptions!$D$26*Assumptions!$D$11)</f>
        <v/>
      </c>
      <c r="F17" s="7">
        <f>F16*(Assumptions!$D$24*Assumptions!$D$9+Assumptions!$D$25*Assumptions!$D$10+Assumptions!$D$26*Assumptions!$D$11)</f>
        <v/>
      </c>
      <c r="G17" s="7">
        <f>G16*(Assumptions!$D$24*Assumptions!$D$9+Assumptions!$D$25*Assumptions!$D$10+Assumptions!$D$26*Assumptions!$D$11)</f>
        <v/>
      </c>
      <c r="H17" s="7">
        <f>H16*(Assumptions!$D$24*Assumptions!$D$9+Assumptions!$D$25*Assumptions!$D$10+Assumptions!$D$26*Assumptions!$D$11)</f>
        <v/>
      </c>
      <c r="I17" s="7">
        <f>I16*(Assumptions!$D$24*Assumptions!$D$9+Assumptions!$D$25*Assumptions!$D$10+Assumptions!$D$26*Assumptions!$D$11)</f>
        <v/>
      </c>
      <c r="J17" s="7">
        <f>J16*(Assumptions!$D$24*Assumptions!$D$9+Assumptions!$D$25*Assumptions!$D$10+Assumptions!$D$26*Assumptions!$D$11)</f>
        <v/>
      </c>
      <c r="K17" s="7">
        <f>K16*(Assumptions!$D$24*Assumptions!$D$9+Assumptions!$D$25*Assumptions!$D$10+Assumptions!$D$26*Assumptions!$D$11)</f>
        <v/>
      </c>
      <c r="L17" s="7">
        <f>L16*(Assumptions!$D$24*Assumptions!$D$9+Assumptions!$D$25*Assumptions!$D$10+Assumptions!$D$26*Assumptions!$D$11)</f>
        <v/>
      </c>
      <c r="M17" s="7">
        <f>M16*(Assumptions!$D$24*Assumptions!$D$9+Assumptions!$D$25*Assumptions!$D$10+Assumptions!$D$26*Assumptions!$D$11)</f>
        <v/>
      </c>
      <c r="N17" s="7">
        <f>N16*(Assumptions!$D$24*Assumptions!$D$9+Assumptions!$D$25*Assumptions!$D$10+Assumptions!$D$26*Assumptions!$D$11)</f>
        <v/>
      </c>
      <c r="O17" s="7">
        <f>O16*(Assumptions!$D$24*Assumptions!$D$9+Assumptions!$D$25*Assumptions!$D$10+Assumptions!$D$26*Assumptions!$D$11)</f>
        <v/>
      </c>
      <c r="P17" s="7">
        <f>P16*(Assumptions!$D$24*Assumptions!$D$9+Assumptions!$D$25*Assumptions!$D$10+Assumptions!$D$26*Assumptions!$D$11)</f>
        <v/>
      </c>
      <c r="Q17" s="7">
        <f>Q16*(Assumptions!$D$24*Assumptions!$D$9+Assumptions!$D$25*Assumptions!$D$10+Assumptions!$D$26*Assumptions!$D$11)</f>
        <v/>
      </c>
      <c r="R17" s="7">
        <f>R16*(Assumptions!$D$24*Assumptions!$D$9+Assumptions!$D$25*Assumptions!$D$10+Assumptions!$D$26*Assumptions!$D$11)</f>
        <v/>
      </c>
      <c r="S17" s="7">
        <f>S16*(Assumptions!$D$24*Assumptions!$D$9+Assumptions!$D$25*Assumptions!$D$10+Assumptions!$D$26*Assumptions!$D$11)</f>
        <v/>
      </c>
      <c r="T17" s="7">
        <f>T16*(Assumptions!$D$24*Assumptions!$D$9+Assumptions!$D$25*Assumptions!$D$10+Assumptions!$D$26*Assumptions!$D$11)</f>
        <v/>
      </c>
      <c r="U17" s="7">
        <f>U16*(Assumptions!$D$24*Assumptions!$D$9+Assumptions!$D$25*Assumptions!$D$10+Assumptions!$D$26*Assumptions!$D$11)</f>
        <v/>
      </c>
      <c r="V17" s="7">
        <f>V16*(Assumptions!$D$24*Assumptions!$D$9+Assumptions!$D$25*Assumptions!$D$10+Assumptions!$D$26*Assumptions!$D$11)</f>
        <v/>
      </c>
      <c r="W17" s="7">
        <f>W16*(Assumptions!$D$24*Assumptions!$D$9+Assumptions!$D$25*Assumptions!$D$10+Assumptions!$D$26*Assumptions!$D$11)</f>
        <v/>
      </c>
      <c r="X17" s="7">
        <f>X16*(Assumptions!$D$24*Assumptions!$D$9+Assumptions!$D$25*Assumptions!$D$10+Assumptions!$D$26*Assumptions!$D$11)</f>
        <v/>
      </c>
      <c r="Y17" s="7">
        <f>Y16*(Assumptions!$D$24*Assumptions!$D$9+Assumptions!$D$25*Assumptions!$D$10+Assumptions!$D$26*Assumptions!$D$11)</f>
        <v/>
      </c>
      <c r="Z17" s="7">
        <f>Z16*(Assumptions!$D$24*Assumptions!$D$9+Assumptions!$D$25*Assumptions!$D$10+Assumptions!$D$26*Assumptions!$D$11)</f>
        <v/>
      </c>
    </row>
    <row r="18">
      <c r="A18" t="inlineStr">
        <is>
          <t>HE: IAP נטו אחרי מסים ועמלת חנות (₪)</t>
        </is>
      </c>
      <c r="B18" s="6">
        <f>SUM(C18:Z18)</f>
        <v/>
      </c>
      <c r="C18" s="7">
        <f>C17/(1+Assumptions!$D$20)*(1-Assumptions!$D$19)</f>
        <v/>
      </c>
      <c r="D18" s="7">
        <f>D17/(1+Assumptions!$D$20)*(1-Assumptions!$D$19)</f>
        <v/>
      </c>
      <c r="E18" s="7">
        <f>E17/(1+Assumptions!$D$20)*(1-Assumptions!$D$19)</f>
        <v/>
      </c>
      <c r="F18" s="7">
        <f>F17/(1+Assumptions!$D$20)*(1-Assumptions!$D$19)</f>
        <v/>
      </c>
      <c r="G18" s="7">
        <f>G17/(1+Assumptions!$D$20)*(1-Assumptions!$D$19)</f>
        <v/>
      </c>
      <c r="H18" s="7">
        <f>H17/(1+Assumptions!$D$20)*(1-Assumptions!$D$19)</f>
        <v/>
      </c>
      <c r="I18" s="7">
        <f>I17/(1+Assumptions!$D$20)*(1-Assumptions!$D$19)</f>
        <v/>
      </c>
      <c r="J18" s="7">
        <f>J17/(1+Assumptions!$D$20)*(1-Assumptions!$D$19)</f>
        <v/>
      </c>
      <c r="K18" s="7">
        <f>K17/(1+Assumptions!$D$20)*(1-Assumptions!$D$19)</f>
        <v/>
      </c>
      <c r="L18" s="7">
        <f>L17/(1+Assumptions!$D$20)*(1-Assumptions!$D$19)</f>
        <v/>
      </c>
      <c r="M18" s="7">
        <f>M17/(1+Assumptions!$D$20)*(1-Assumptions!$D$19)</f>
        <v/>
      </c>
      <c r="N18" s="7">
        <f>N17/(1+Assumptions!$D$20)*(1-Assumptions!$D$19)</f>
        <v/>
      </c>
      <c r="O18" s="7">
        <f>O17/(1+Assumptions!$D$20)*(1-Assumptions!$D$19)</f>
        <v/>
      </c>
      <c r="P18" s="7">
        <f>P17/(1+Assumptions!$D$20)*(1-Assumptions!$D$19)</f>
        <v/>
      </c>
      <c r="Q18" s="7">
        <f>Q17/(1+Assumptions!$D$20)*(1-Assumptions!$D$19)</f>
        <v/>
      </c>
      <c r="R18" s="7">
        <f>R17/(1+Assumptions!$D$20)*(1-Assumptions!$D$19)</f>
        <v/>
      </c>
      <c r="S18" s="7">
        <f>S17/(1+Assumptions!$D$20)*(1-Assumptions!$D$19)</f>
        <v/>
      </c>
      <c r="T18" s="7">
        <f>T17/(1+Assumptions!$D$20)*(1-Assumptions!$D$19)</f>
        <v/>
      </c>
      <c r="U18" s="7">
        <f>U17/(1+Assumptions!$D$20)*(1-Assumptions!$D$19)</f>
        <v/>
      </c>
      <c r="V18" s="7">
        <f>V17/(1+Assumptions!$D$20)*(1-Assumptions!$D$19)</f>
        <v/>
      </c>
      <c r="W18" s="7">
        <f>W17/(1+Assumptions!$D$20)*(1-Assumptions!$D$19)</f>
        <v/>
      </c>
      <c r="X18" s="7">
        <f>X17/(1+Assumptions!$D$20)*(1-Assumptions!$D$19)</f>
        <v/>
      </c>
      <c r="Y18" s="7">
        <f>Y17/(1+Assumptions!$D$20)*(1-Assumptions!$D$19)</f>
        <v/>
      </c>
      <c r="Z18" s="7">
        <f>Z17/(1+Assumptions!$D$20)*(1-Assumptions!$D$19)</f>
        <v/>
      </c>
    </row>
    <row r="19">
      <c r="A19" s="1" t="inlineStr">
        <is>
          <t>-- B2B (ישראל, לפני מע"מ, ללא עמלת חנות) --</t>
        </is>
      </c>
    </row>
    <row r="20">
      <c r="A20" t="inlineStr">
        <is>
          <t>B2B: הכנסה ממכירות חדשות (₪)</t>
        </is>
      </c>
      <c r="B20" s="6">
        <f>SUM(C20:Z20)</f>
        <v/>
      </c>
      <c r="C20" s="7">
        <f>IF(C$3&gt;=Assumptions!$D$54,Assumptions!$D$55*Assumptions!$D$16+Assumptions!$D$56*Assumptions!$D$15+Assumptions!$D$57*Assumptions!$D$17,0)</f>
        <v/>
      </c>
      <c r="D20" s="7">
        <f>IF(D$3&gt;=Assumptions!$D$54,Assumptions!$D$55*Assumptions!$D$16+Assumptions!$D$56*Assumptions!$D$15+Assumptions!$D$57*Assumptions!$D$17,0)</f>
        <v/>
      </c>
      <c r="E20" s="7">
        <f>IF(E$3&gt;=Assumptions!$D$54,Assumptions!$D$55*Assumptions!$D$16+Assumptions!$D$56*Assumptions!$D$15+Assumptions!$D$57*Assumptions!$D$17,0)</f>
        <v/>
      </c>
      <c r="F20" s="7">
        <f>IF(F$3&gt;=Assumptions!$D$54,Assumptions!$D$55*Assumptions!$D$16+Assumptions!$D$56*Assumptions!$D$15+Assumptions!$D$57*Assumptions!$D$17,0)</f>
        <v/>
      </c>
      <c r="G20" s="7">
        <f>IF(G$3&gt;=Assumptions!$D$54,Assumptions!$D$55*Assumptions!$D$16+Assumptions!$D$56*Assumptions!$D$15+Assumptions!$D$57*Assumptions!$D$17,0)</f>
        <v/>
      </c>
      <c r="H20" s="7">
        <f>IF(H$3&gt;=Assumptions!$D$54,Assumptions!$D$55*Assumptions!$D$16+Assumptions!$D$56*Assumptions!$D$15+Assumptions!$D$57*Assumptions!$D$17,0)</f>
        <v/>
      </c>
      <c r="I20" s="7">
        <f>IF(I$3&gt;=Assumptions!$D$54,Assumptions!$D$55*Assumptions!$D$16+Assumptions!$D$56*Assumptions!$D$15+Assumptions!$D$57*Assumptions!$D$17,0)</f>
        <v/>
      </c>
      <c r="J20" s="7">
        <f>IF(J$3&gt;=Assumptions!$D$54,Assumptions!$D$55*Assumptions!$D$16+Assumptions!$D$56*Assumptions!$D$15+Assumptions!$D$57*Assumptions!$D$17,0)</f>
        <v/>
      </c>
      <c r="K20" s="7">
        <f>IF(K$3&gt;=Assumptions!$D$54,Assumptions!$D$55*Assumptions!$D$16+Assumptions!$D$56*Assumptions!$D$15+Assumptions!$D$57*Assumptions!$D$17,0)</f>
        <v/>
      </c>
      <c r="L20" s="7">
        <f>IF(L$3&gt;=Assumptions!$D$54,Assumptions!$D$55*Assumptions!$D$16+Assumptions!$D$56*Assumptions!$D$15+Assumptions!$D$57*Assumptions!$D$17,0)</f>
        <v/>
      </c>
      <c r="M20" s="7">
        <f>IF(M$3&gt;=Assumptions!$D$54,Assumptions!$D$55*Assumptions!$D$16+Assumptions!$D$56*Assumptions!$D$15+Assumptions!$D$57*Assumptions!$D$17,0)</f>
        <v/>
      </c>
      <c r="N20" s="7">
        <f>IF(N$3&gt;=Assumptions!$D$54,Assumptions!$D$55*Assumptions!$D$16+Assumptions!$D$56*Assumptions!$D$15+Assumptions!$D$57*Assumptions!$D$17,0)</f>
        <v/>
      </c>
      <c r="O20" s="7">
        <f>IF(O$3&gt;=Assumptions!$D$54,Assumptions!$D$55*Assumptions!$D$16+Assumptions!$D$56*Assumptions!$D$15+Assumptions!$D$57*Assumptions!$D$17,0)</f>
        <v/>
      </c>
      <c r="P20" s="7">
        <f>IF(P$3&gt;=Assumptions!$D$54,Assumptions!$D$55*Assumptions!$D$16+Assumptions!$D$56*Assumptions!$D$15+Assumptions!$D$57*Assumptions!$D$17,0)</f>
        <v/>
      </c>
      <c r="Q20" s="7">
        <f>IF(Q$3&gt;=Assumptions!$D$54,Assumptions!$D$55*Assumptions!$D$16+Assumptions!$D$56*Assumptions!$D$15+Assumptions!$D$57*Assumptions!$D$17,0)</f>
        <v/>
      </c>
      <c r="R20" s="7">
        <f>IF(R$3&gt;=Assumptions!$D$54,Assumptions!$D$55*Assumptions!$D$16+Assumptions!$D$56*Assumptions!$D$15+Assumptions!$D$57*Assumptions!$D$17,0)</f>
        <v/>
      </c>
      <c r="S20" s="7">
        <f>IF(S$3&gt;=Assumptions!$D$54,Assumptions!$D$55*Assumptions!$D$16+Assumptions!$D$56*Assumptions!$D$15+Assumptions!$D$57*Assumptions!$D$17,0)</f>
        <v/>
      </c>
      <c r="T20" s="7">
        <f>IF(T$3&gt;=Assumptions!$D$54,Assumptions!$D$55*Assumptions!$D$16+Assumptions!$D$56*Assumptions!$D$15+Assumptions!$D$57*Assumptions!$D$17,0)</f>
        <v/>
      </c>
      <c r="U20" s="7">
        <f>IF(U$3&gt;=Assumptions!$D$54,Assumptions!$D$55*Assumptions!$D$16+Assumptions!$D$56*Assumptions!$D$15+Assumptions!$D$57*Assumptions!$D$17,0)</f>
        <v/>
      </c>
      <c r="V20" s="7">
        <f>IF(V$3&gt;=Assumptions!$D$54,Assumptions!$D$55*Assumptions!$D$16+Assumptions!$D$56*Assumptions!$D$15+Assumptions!$D$57*Assumptions!$D$17,0)</f>
        <v/>
      </c>
      <c r="W20" s="7">
        <f>IF(W$3&gt;=Assumptions!$D$54,Assumptions!$D$55*Assumptions!$D$16+Assumptions!$D$56*Assumptions!$D$15+Assumptions!$D$57*Assumptions!$D$17,0)</f>
        <v/>
      </c>
      <c r="X20" s="7">
        <f>IF(X$3&gt;=Assumptions!$D$54,Assumptions!$D$55*Assumptions!$D$16+Assumptions!$D$56*Assumptions!$D$15+Assumptions!$D$57*Assumptions!$D$17,0)</f>
        <v/>
      </c>
      <c r="Y20" s="7">
        <f>IF(Y$3&gt;=Assumptions!$D$54,Assumptions!$D$55*Assumptions!$D$16+Assumptions!$D$56*Assumptions!$D$15+Assumptions!$D$57*Assumptions!$D$17,0)</f>
        <v/>
      </c>
      <c r="Z20" s="7">
        <f>IF(Z$3&gt;=Assumptions!$D$54,Assumptions!$D$55*Assumptions!$D$16+Assumptions!$D$56*Assumptions!$D$15+Assumptions!$D$57*Assumptions!$D$17,0)</f>
        <v/>
      </c>
    </row>
    <row r="21">
      <c r="A21" t="inlineStr">
        <is>
          <t>B2B: הכנסה מחידושים (₪)</t>
        </is>
      </c>
      <c r="B21" s="6">
        <f>SUM(C21:Z21)</f>
        <v/>
      </c>
      <c r="C21" s="7">
        <f>0</f>
        <v/>
      </c>
      <c r="D21" s="7">
        <f>0</f>
        <v/>
      </c>
      <c r="E21" s="7">
        <f>0</f>
        <v/>
      </c>
      <c r="F21" s="7">
        <f>0</f>
        <v/>
      </c>
      <c r="G21" s="7">
        <f>0</f>
        <v/>
      </c>
      <c r="H21" s="7">
        <f>0</f>
        <v/>
      </c>
      <c r="I21" s="7">
        <f>0</f>
        <v/>
      </c>
      <c r="J21" s="7">
        <f>0</f>
        <v/>
      </c>
      <c r="K21" s="7">
        <f>0</f>
        <v/>
      </c>
      <c r="L21" s="7">
        <f>0</f>
        <v/>
      </c>
      <c r="M21" s="7">
        <f>0</f>
        <v/>
      </c>
      <c r="N21" s="7">
        <f>0</f>
        <v/>
      </c>
      <c r="O21" s="7">
        <f>Assumptions!$D$58*C20</f>
        <v/>
      </c>
      <c r="P21" s="7">
        <f>Assumptions!$D$58*D20</f>
        <v/>
      </c>
      <c r="Q21" s="7">
        <f>Assumptions!$D$58*E20</f>
        <v/>
      </c>
      <c r="R21" s="7">
        <f>Assumptions!$D$58*F20</f>
        <v/>
      </c>
      <c r="S21" s="7">
        <f>Assumptions!$D$58*G20</f>
        <v/>
      </c>
      <c r="T21" s="7">
        <f>Assumptions!$D$58*H20</f>
        <v/>
      </c>
      <c r="U21" s="7">
        <f>Assumptions!$D$58*I20</f>
        <v/>
      </c>
      <c r="V21" s="7">
        <f>Assumptions!$D$58*J20</f>
        <v/>
      </c>
      <c r="W21" s="7">
        <f>Assumptions!$D$58*K20</f>
        <v/>
      </c>
      <c r="X21" s="7">
        <f>Assumptions!$D$58*L20</f>
        <v/>
      </c>
      <c r="Y21" s="7">
        <f>Assumptions!$D$58*M20</f>
        <v/>
      </c>
      <c r="Z21" s="7">
        <f>Assumptions!$D$58*N20</f>
        <v/>
      </c>
    </row>
    <row r="22">
      <c r="A22" t="inlineStr">
        <is>
          <t>B2B: סה"כ הכנסה (₪)</t>
        </is>
      </c>
      <c r="B22" s="6">
        <f>SUM(C22:Z22)</f>
        <v/>
      </c>
      <c r="C22" s="7">
        <f>C20+C21</f>
        <v/>
      </c>
      <c r="D22" s="7">
        <f>D20+D21</f>
        <v/>
      </c>
      <c r="E22" s="7">
        <f>E20+E21</f>
        <v/>
      </c>
      <c r="F22" s="7">
        <f>F20+F21</f>
        <v/>
      </c>
      <c r="G22" s="7">
        <f>G20+G21</f>
        <v/>
      </c>
      <c r="H22" s="7">
        <f>H20+H21</f>
        <v/>
      </c>
      <c r="I22" s="7">
        <f>I20+I21</f>
        <v/>
      </c>
      <c r="J22" s="7">
        <f>J20+J21</f>
        <v/>
      </c>
      <c r="K22" s="7">
        <f>K20+K21</f>
        <v/>
      </c>
      <c r="L22" s="7">
        <f>L20+L21</f>
        <v/>
      </c>
      <c r="M22" s="7">
        <f>M20+M21</f>
        <v/>
      </c>
      <c r="N22" s="7">
        <f>N20+N21</f>
        <v/>
      </c>
      <c r="O22" s="7">
        <f>O20+O21</f>
        <v/>
      </c>
      <c r="P22" s="7">
        <f>P20+P21</f>
        <v/>
      </c>
      <c r="Q22" s="7">
        <f>Q20+Q21</f>
        <v/>
      </c>
      <c r="R22" s="7">
        <f>R20+R21</f>
        <v/>
      </c>
      <c r="S22" s="7">
        <f>S20+S21</f>
        <v/>
      </c>
      <c r="T22" s="7">
        <f>T20+T21</f>
        <v/>
      </c>
      <c r="U22" s="7">
        <f>U20+U21</f>
        <v/>
      </c>
      <c r="V22" s="7">
        <f>V20+V21</f>
        <v/>
      </c>
      <c r="W22" s="7">
        <f>W20+W21</f>
        <v/>
      </c>
      <c r="X22" s="7">
        <f>X20+X21</f>
        <v/>
      </c>
      <c r="Y22" s="7">
        <f>Y20+Y21</f>
        <v/>
      </c>
      <c r="Z22" s="7">
        <f>Z20+Z21</f>
        <v/>
      </c>
    </row>
    <row r="24">
      <c r="A24" s="1" t="inlineStr">
        <is>
          <t>-- שוק אנגלי (מחודש ההשקה) --</t>
        </is>
      </c>
    </row>
    <row r="25">
      <c r="A25" t="inlineStr">
        <is>
          <t>EN: התקנות אורגניות</t>
        </is>
      </c>
      <c r="B25" s="6">
        <f>SUM(C25:Z25)</f>
        <v/>
      </c>
      <c r="C25" s="7">
        <f>IF(C$3&gt;=Assumptions!$D$31,Assumptions!$D$30*(1+Assumptions!$D$29)^(C$3-Assumptions!$D$31),0)</f>
        <v/>
      </c>
      <c r="D25" s="7">
        <f>IF(D$3&gt;=Assumptions!$D$31,Assumptions!$D$30*(1+Assumptions!$D$29)^(D$3-Assumptions!$D$31),0)</f>
        <v/>
      </c>
      <c r="E25" s="7">
        <f>IF(E$3&gt;=Assumptions!$D$31,Assumptions!$D$30*(1+Assumptions!$D$29)^(E$3-Assumptions!$D$31),0)</f>
        <v/>
      </c>
      <c r="F25" s="7">
        <f>IF(F$3&gt;=Assumptions!$D$31,Assumptions!$D$30*(1+Assumptions!$D$29)^(F$3-Assumptions!$D$31),0)</f>
        <v/>
      </c>
      <c r="G25" s="7">
        <f>IF(G$3&gt;=Assumptions!$D$31,Assumptions!$D$30*(1+Assumptions!$D$29)^(G$3-Assumptions!$D$31),0)</f>
        <v/>
      </c>
      <c r="H25" s="7">
        <f>IF(H$3&gt;=Assumptions!$D$31,Assumptions!$D$30*(1+Assumptions!$D$29)^(H$3-Assumptions!$D$31),0)</f>
        <v/>
      </c>
      <c r="I25" s="7">
        <f>IF(I$3&gt;=Assumptions!$D$31,Assumptions!$D$30*(1+Assumptions!$D$29)^(I$3-Assumptions!$D$31),0)</f>
        <v/>
      </c>
      <c r="J25" s="7">
        <f>IF(J$3&gt;=Assumptions!$D$31,Assumptions!$D$30*(1+Assumptions!$D$29)^(J$3-Assumptions!$D$31),0)</f>
        <v/>
      </c>
      <c r="K25" s="7">
        <f>IF(K$3&gt;=Assumptions!$D$31,Assumptions!$D$30*(1+Assumptions!$D$29)^(K$3-Assumptions!$D$31),0)</f>
        <v/>
      </c>
      <c r="L25" s="7">
        <f>IF(L$3&gt;=Assumptions!$D$31,Assumptions!$D$30*(1+Assumptions!$D$29)^(L$3-Assumptions!$D$31),0)</f>
        <v/>
      </c>
      <c r="M25" s="7">
        <f>IF(M$3&gt;=Assumptions!$D$31,Assumptions!$D$30*(1+Assumptions!$D$29)^(M$3-Assumptions!$D$31),0)</f>
        <v/>
      </c>
      <c r="N25" s="7">
        <f>IF(N$3&gt;=Assumptions!$D$31,Assumptions!$D$30*(1+Assumptions!$D$29)^(N$3-Assumptions!$D$31),0)</f>
        <v/>
      </c>
      <c r="O25" s="7">
        <f>IF(O$3&gt;=Assumptions!$D$31,Assumptions!$D$30*(1+Assumptions!$D$29)^(O$3-Assumptions!$D$31),0)</f>
        <v/>
      </c>
      <c r="P25" s="7">
        <f>IF(P$3&gt;=Assumptions!$D$31,Assumptions!$D$30*(1+Assumptions!$D$29)^(P$3-Assumptions!$D$31),0)</f>
        <v/>
      </c>
      <c r="Q25" s="7">
        <f>IF(Q$3&gt;=Assumptions!$D$31,Assumptions!$D$30*(1+Assumptions!$D$29)^(Q$3-Assumptions!$D$31),0)</f>
        <v/>
      </c>
      <c r="R25" s="7">
        <f>IF(R$3&gt;=Assumptions!$D$31,Assumptions!$D$30*(1+Assumptions!$D$29)^(R$3-Assumptions!$D$31),0)</f>
        <v/>
      </c>
      <c r="S25" s="7">
        <f>IF(S$3&gt;=Assumptions!$D$31,Assumptions!$D$30*(1+Assumptions!$D$29)^(S$3-Assumptions!$D$31),0)</f>
        <v/>
      </c>
      <c r="T25" s="7">
        <f>IF(T$3&gt;=Assumptions!$D$31,Assumptions!$D$30*(1+Assumptions!$D$29)^(T$3-Assumptions!$D$31),0)</f>
        <v/>
      </c>
      <c r="U25" s="7">
        <f>IF(U$3&gt;=Assumptions!$D$31,Assumptions!$D$30*(1+Assumptions!$D$29)^(U$3-Assumptions!$D$31),0)</f>
        <v/>
      </c>
      <c r="V25" s="7">
        <f>IF(V$3&gt;=Assumptions!$D$31,Assumptions!$D$30*(1+Assumptions!$D$29)^(V$3-Assumptions!$D$31),0)</f>
        <v/>
      </c>
      <c r="W25" s="7">
        <f>IF(W$3&gt;=Assumptions!$D$31,Assumptions!$D$30*(1+Assumptions!$D$29)^(W$3-Assumptions!$D$31),0)</f>
        <v/>
      </c>
      <c r="X25" s="7">
        <f>IF(X$3&gt;=Assumptions!$D$31,Assumptions!$D$30*(1+Assumptions!$D$29)^(X$3-Assumptions!$D$31),0)</f>
        <v/>
      </c>
      <c r="Y25" s="7">
        <f>IF(Y$3&gt;=Assumptions!$D$31,Assumptions!$D$30*(1+Assumptions!$D$29)^(Y$3-Assumptions!$D$31),0)</f>
        <v/>
      </c>
      <c r="Z25" s="7">
        <f>IF(Z$3&gt;=Assumptions!$D$31,Assumptions!$D$30*(1+Assumptions!$D$29)^(Z$3-Assumptions!$D$31),0)</f>
        <v/>
      </c>
    </row>
    <row r="26">
      <c r="A26" t="inlineStr">
        <is>
          <t>EN: הוצאת פרסום (אין)</t>
        </is>
      </c>
      <c r="B26" s="6">
        <f>SUM(C26:Z26)</f>
        <v/>
      </c>
      <c r="C26" s="7">
        <f>0</f>
        <v/>
      </c>
      <c r="D26" s="7">
        <f>0</f>
        <v/>
      </c>
      <c r="E26" s="7">
        <f>0</f>
        <v/>
      </c>
      <c r="F26" s="7">
        <f>0</f>
        <v/>
      </c>
      <c r="G26" s="7">
        <f>0</f>
        <v/>
      </c>
      <c r="H26" s="7">
        <f>0</f>
        <v/>
      </c>
      <c r="I26" s="7">
        <f>0</f>
        <v/>
      </c>
      <c r="J26" s="7">
        <f>0</f>
        <v/>
      </c>
      <c r="K26" s="7">
        <f>0</f>
        <v/>
      </c>
      <c r="L26" s="7">
        <f>0</f>
        <v/>
      </c>
      <c r="M26" s="7">
        <f>0</f>
        <v/>
      </c>
      <c r="N26" s="7">
        <f>0</f>
        <v/>
      </c>
      <c r="O26" s="7">
        <f>0</f>
        <v/>
      </c>
      <c r="P26" s="7">
        <f>0</f>
        <v/>
      </c>
      <c r="Q26" s="7">
        <f>0</f>
        <v/>
      </c>
      <c r="R26" s="7">
        <f>0</f>
        <v/>
      </c>
      <c r="S26" s="7">
        <f>0</f>
        <v/>
      </c>
      <c r="T26" s="7">
        <f>0</f>
        <v/>
      </c>
      <c r="U26" s="7">
        <f>0</f>
        <v/>
      </c>
      <c r="V26" s="7">
        <f>0</f>
        <v/>
      </c>
      <c r="W26" s="7">
        <f>0</f>
        <v/>
      </c>
      <c r="X26" s="7">
        <f>0</f>
        <v/>
      </c>
      <c r="Y26" s="7">
        <f>0</f>
        <v/>
      </c>
      <c r="Z26" s="7">
        <f>0</f>
        <v/>
      </c>
    </row>
    <row r="27">
      <c r="A27" t="inlineStr">
        <is>
          <t>EN: התקנות בתשלום (אין)</t>
        </is>
      </c>
      <c r="B27" s="6">
        <f>SUM(C27:Z27)</f>
        <v/>
      </c>
      <c r="C27" s="7">
        <f>0</f>
        <v/>
      </c>
      <c r="D27" s="7">
        <f>0</f>
        <v/>
      </c>
      <c r="E27" s="7">
        <f>0</f>
        <v/>
      </c>
      <c r="F27" s="7">
        <f>0</f>
        <v/>
      </c>
      <c r="G27" s="7">
        <f>0</f>
        <v/>
      </c>
      <c r="H27" s="7">
        <f>0</f>
        <v/>
      </c>
      <c r="I27" s="7">
        <f>0</f>
        <v/>
      </c>
      <c r="J27" s="7">
        <f>0</f>
        <v/>
      </c>
      <c r="K27" s="7">
        <f>0</f>
        <v/>
      </c>
      <c r="L27" s="7">
        <f>0</f>
        <v/>
      </c>
      <c r="M27" s="7">
        <f>0</f>
        <v/>
      </c>
      <c r="N27" s="7">
        <f>0</f>
        <v/>
      </c>
      <c r="O27" s="7">
        <f>0</f>
        <v/>
      </c>
      <c r="P27" s="7">
        <f>0</f>
        <v/>
      </c>
      <c r="Q27" s="7">
        <f>0</f>
        <v/>
      </c>
      <c r="R27" s="7">
        <f>0</f>
        <v/>
      </c>
      <c r="S27" s="7">
        <f>0</f>
        <v/>
      </c>
      <c r="T27" s="7">
        <f>0</f>
        <v/>
      </c>
      <c r="U27" s="7">
        <f>0</f>
        <v/>
      </c>
      <c r="V27" s="7">
        <f>0</f>
        <v/>
      </c>
      <c r="W27" s="7">
        <f>0</f>
        <v/>
      </c>
      <c r="X27" s="7">
        <f>0</f>
        <v/>
      </c>
      <c r="Y27" s="7">
        <f>0</f>
        <v/>
      </c>
      <c r="Z27" s="7">
        <f>0</f>
        <v/>
      </c>
    </row>
    <row r="28">
      <c r="A28" t="inlineStr">
        <is>
          <t>EN: סה"כ התקנות</t>
        </is>
      </c>
      <c r="B28" s="6">
        <f>SUM(C28:Z28)</f>
        <v/>
      </c>
      <c r="C28" s="7">
        <f>C25+C27</f>
        <v/>
      </c>
      <c r="D28" s="7">
        <f>D25+D27</f>
        <v/>
      </c>
      <c r="E28" s="7">
        <f>E25+E27</f>
        <v/>
      </c>
      <c r="F28" s="7">
        <f>F25+F27</f>
        <v/>
      </c>
      <c r="G28" s="7">
        <f>G25+G27</f>
        <v/>
      </c>
      <c r="H28" s="7">
        <f>H25+H27</f>
        <v/>
      </c>
      <c r="I28" s="7">
        <f>I25+I27</f>
        <v/>
      </c>
      <c r="J28" s="7">
        <f>J25+J27</f>
        <v/>
      </c>
      <c r="K28" s="7">
        <f>K25+K27</f>
        <v/>
      </c>
      <c r="L28" s="7">
        <f>L25+L27</f>
        <v/>
      </c>
      <c r="M28" s="7">
        <f>M25+M27</f>
        <v/>
      </c>
      <c r="N28" s="7">
        <f>N25+N27</f>
        <v/>
      </c>
      <c r="O28" s="7">
        <f>O25+O27</f>
        <v/>
      </c>
      <c r="P28" s="7">
        <f>P25+P27</f>
        <v/>
      </c>
      <c r="Q28" s="7">
        <f>Q25+Q27</f>
        <v/>
      </c>
      <c r="R28" s="7">
        <f>R25+R27</f>
        <v/>
      </c>
      <c r="S28" s="7">
        <f>S25+S27</f>
        <v/>
      </c>
      <c r="T28" s="7">
        <f>T25+T27</f>
        <v/>
      </c>
      <c r="U28" s="7">
        <f>U25+U27</f>
        <v/>
      </c>
      <c r="V28" s="7">
        <f>V25+V27</f>
        <v/>
      </c>
      <c r="W28" s="7">
        <f>W25+W27</f>
        <v/>
      </c>
      <c r="X28" s="7">
        <f>X25+X27</f>
        <v/>
      </c>
      <c r="Y28" s="7">
        <f>Y25+Y27</f>
        <v/>
      </c>
      <c r="Z28" s="7">
        <f>Z25+Z27</f>
        <v/>
      </c>
    </row>
    <row r="29">
      <c r="A29" t="inlineStr">
        <is>
          <t>EN: שחקנים ותיקים (מחודש 2 ואילך, DAU)</t>
        </is>
      </c>
      <c r="B29" s="6" t="n"/>
      <c r="C29" s="7">
        <f>0</f>
        <v/>
      </c>
      <c r="D29" s="7">
        <f>Assumptions!$D$40*C29+C28*Assumptions!$D$39</f>
        <v/>
      </c>
      <c r="E29" s="7">
        <f>Assumptions!$D$40*D29+D28*Assumptions!$D$39</f>
        <v/>
      </c>
      <c r="F29" s="7">
        <f>Assumptions!$D$40*E29+E28*Assumptions!$D$39</f>
        <v/>
      </c>
      <c r="G29" s="7">
        <f>Assumptions!$D$40*F29+F28*Assumptions!$D$39</f>
        <v/>
      </c>
      <c r="H29" s="7">
        <f>Assumptions!$D$40*G29+G28*Assumptions!$D$39</f>
        <v/>
      </c>
      <c r="I29" s="7">
        <f>Assumptions!$D$40*H29+H28*Assumptions!$D$39</f>
        <v/>
      </c>
      <c r="J29" s="7">
        <f>Assumptions!$D$40*I29+I28*Assumptions!$D$39</f>
        <v/>
      </c>
      <c r="K29" s="7">
        <f>Assumptions!$D$40*J29+J28*Assumptions!$D$39</f>
        <v/>
      </c>
      <c r="L29" s="7">
        <f>Assumptions!$D$40*K29+K28*Assumptions!$D$39</f>
        <v/>
      </c>
      <c r="M29" s="7">
        <f>Assumptions!$D$40*L29+L28*Assumptions!$D$39</f>
        <v/>
      </c>
      <c r="N29" s="7">
        <f>Assumptions!$D$40*M29+M28*Assumptions!$D$39</f>
        <v/>
      </c>
      <c r="O29" s="7">
        <f>Assumptions!$D$40*N29+N28*Assumptions!$D$39</f>
        <v/>
      </c>
      <c r="P29" s="7">
        <f>Assumptions!$D$40*O29+O28*Assumptions!$D$39</f>
        <v/>
      </c>
      <c r="Q29" s="7">
        <f>Assumptions!$D$40*P29+P28*Assumptions!$D$39</f>
        <v/>
      </c>
      <c r="R29" s="7">
        <f>Assumptions!$D$40*Q29+Q28*Assumptions!$D$39</f>
        <v/>
      </c>
      <c r="S29" s="7">
        <f>Assumptions!$D$40*R29+R28*Assumptions!$D$39</f>
        <v/>
      </c>
      <c r="T29" s="7">
        <f>Assumptions!$D$40*S29+S28*Assumptions!$D$39</f>
        <v/>
      </c>
      <c r="U29" s="7">
        <f>Assumptions!$D$40*T29+T28*Assumptions!$D$39</f>
        <v/>
      </c>
      <c r="V29" s="7">
        <f>Assumptions!$D$40*U29+U28*Assumptions!$D$39</f>
        <v/>
      </c>
      <c r="W29" s="7">
        <f>Assumptions!$D$40*V29+V28*Assumptions!$D$39</f>
        <v/>
      </c>
      <c r="X29" s="7">
        <f>Assumptions!$D$40*W29+W28*Assumptions!$D$39</f>
        <v/>
      </c>
      <c r="Y29" s="7">
        <f>Assumptions!$D$40*X29+X28*Assumptions!$D$39</f>
        <v/>
      </c>
      <c r="Z29" s="7">
        <f>Assumptions!$D$40*Y29+Y28*Assumptions!$D$39</f>
        <v/>
      </c>
    </row>
    <row r="30">
      <c r="A30" t="inlineStr">
        <is>
          <t>EN: DAU ממוצע</t>
        </is>
      </c>
      <c r="B30" s="6" t="n"/>
      <c r="C30" s="7">
        <f>C28*((Assumptions!$D$37+Assumptions!$D$38+Assumptions!$D$39)/3)+C29</f>
        <v/>
      </c>
      <c r="D30" s="7">
        <f>D28*((Assumptions!$D$37+Assumptions!$D$38+Assumptions!$D$39)/3)+D29</f>
        <v/>
      </c>
      <c r="E30" s="7">
        <f>E28*((Assumptions!$D$37+Assumptions!$D$38+Assumptions!$D$39)/3)+E29</f>
        <v/>
      </c>
      <c r="F30" s="7">
        <f>F28*((Assumptions!$D$37+Assumptions!$D$38+Assumptions!$D$39)/3)+F29</f>
        <v/>
      </c>
      <c r="G30" s="7">
        <f>G28*((Assumptions!$D$37+Assumptions!$D$38+Assumptions!$D$39)/3)+G29</f>
        <v/>
      </c>
      <c r="H30" s="7">
        <f>H28*((Assumptions!$D$37+Assumptions!$D$38+Assumptions!$D$39)/3)+H29</f>
        <v/>
      </c>
      <c r="I30" s="7">
        <f>I28*((Assumptions!$D$37+Assumptions!$D$38+Assumptions!$D$39)/3)+I29</f>
        <v/>
      </c>
      <c r="J30" s="7">
        <f>J28*((Assumptions!$D$37+Assumptions!$D$38+Assumptions!$D$39)/3)+J29</f>
        <v/>
      </c>
      <c r="K30" s="7">
        <f>K28*((Assumptions!$D$37+Assumptions!$D$38+Assumptions!$D$39)/3)+K29</f>
        <v/>
      </c>
      <c r="L30" s="7">
        <f>L28*((Assumptions!$D$37+Assumptions!$D$38+Assumptions!$D$39)/3)+L29</f>
        <v/>
      </c>
      <c r="M30" s="7">
        <f>M28*((Assumptions!$D$37+Assumptions!$D$38+Assumptions!$D$39)/3)+M29</f>
        <v/>
      </c>
      <c r="N30" s="7">
        <f>N28*((Assumptions!$D$37+Assumptions!$D$38+Assumptions!$D$39)/3)+N29</f>
        <v/>
      </c>
      <c r="O30" s="7">
        <f>O28*((Assumptions!$D$37+Assumptions!$D$38+Assumptions!$D$39)/3)+O29</f>
        <v/>
      </c>
      <c r="P30" s="7">
        <f>P28*((Assumptions!$D$37+Assumptions!$D$38+Assumptions!$D$39)/3)+P29</f>
        <v/>
      </c>
      <c r="Q30" s="7">
        <f>Q28*((Assumptions!$D$37+Assumptions!$D$38+Assumptions!$D$39)/3)+Q29</f>
        <v/>
      </c>
      <c r="R30" s="7">
        <f>R28*((Assumptions!$D$37+Assumptions!$D$38+Assumptions!$D$39)/3)+R29</f>
        <v/>
      </c>
      <c r="S30" s="7">
        <f>S28*((Assumptions!$D$37+Assumptions!$D$38+Assumptions!$D$39)/3)+S29</f>
        <v/>
      </c>
      <c r="T30" s="7">
        <f>T28*((Assumptions!$D$37+Assumptions!$D$38+Assumptions!$D$39)/3)+T29</f>
        <v/>
      </c>
      <c r="U30" s="7">
        <f>U28*((Assumptions!$D$37+Assumptions!$D$38+Assumptions!$D$39)/3)+U29</f>
        <v/>
      </c>
      <c r="V30" s="7">
        <f>V28*((Assumptions!$D$37+Assumptions!$D$38+Assumptions!$D$39)/3)+V29</f>
        <v/>
      </c>
      <c r="W30" s="7">
        <f>W28*((Assumptions!$D$37+Assumptions!$D$38+Assumptions!$D$39)/3)+W29</f>
        <v/>
      </c>
      <c r="X30" s="7">
        <f>X28*((Assumptions!$D$37+Assumptions!$D$38+Assumptions!$D$39)/3)+X29</f>
        <v/>
      </c>
      <c r="Y30" s="7">
        <f>Y28*((Assumptions!$D$37+Assumptions!$D$38+Assumptions!$D$39)/3)+Y29</f>
        <v/>
      </c>
      <c r="Z30" s="7">
        <f>Z28*((Assumptions!$D$37+Assumptions!$D$38+Assumptions!$D$39)/3)+Z29</f>
        <v/>
      </c>
    </row>
    <row r="31">
      <c r="A31" t="inlineStr">
        <is>
          <t>EN: משחקים בחודש</t>
        </is>
      </c>
      <c r="B31" s="6">
        <f>SUM(C31:Z31)</f>
        <v/>
      </c>
      <c r="C31" s="7">
        <f>C30*Assumptions!$D$41*30</f>
        <v/>
      </c>
      <c r="D31" s="7">
        <f>D30*Assumptions!$D$41*30</f>
        <v/>
      </c>
      <c r="E31" s="7">
        <f>E30*Assumptions!$D$41*30</f>
        <v/>
      </c>
      <c r="F31" s="7">
        <f>F30*Assumptions!$D$41*30</f>
        <v/>
      </c>
      <c r="G31" s="7">
        <f>G30*Assumptions!$D$41*30</f>
        <v/>
      </c>
      <c r="H31" s="7">
        <f>H30*Assumptions!$D$41*30</f>
        <v/>
      </c>
      <c r="I31" s="7">
        <f>I30*Assumptions!$D$41*30</f>
        <v/>
      </c>
      <c r="J31" s="7">
        <f>J30*Assumptions!$D$41*30</f>
        <v/>
      </c>
      <c r="K31" s="7">
        <f>K30*Assumptions!$D$41*30</f>
        <v/>
      </c>
      <c r="L31" s="7">
        <f>L30*Assumptions!$D$41*30</f>
        <v/>
      </c>
      <c r="M31" s="7">
        <f>M30*Assumptions!$D$41*30</f>
        <v/>
      </c>
      <c r="N31" s="7">
        <f>N30*Assumptions!$D$41*30</f>
        <v/>
      </c>
      <c r="O31" s="7">
        <f>O30*Assumptions!$D$41*30</f>
        <v/>
      </c>
      <c r="P31" s="7">
        <f>P30*Assumptions!$D$41*30</f>
        <v/>
      </c>
      <c r="Q31" s="7">
        <f>Q30*Assumptions!$D$41*30</f>
        <v/>
      </c>
      <c r="R31" s="7">
        <f>R30*Assumptions!$D$41*30</f>
        <v/>
      </c>
      <c r="S31" s="7">
        <f>S30*Assumptions!$D$41*30</f>
        <v/>
      </c>
      <c r="T31" s="7">
        <f>T30*Assumptions!$D$41*30</f>
        <v/>
      </c>
      <c r="U31" s="7">
        <f>U30*Assumptions!$D$41*30</f>
        <v/>
      </c>
      <c r="V31" s="7">
        <f>V30*Assumptions!$D$41*30</f>
        <v/>
      </c>
      <c r="W31" s="7">
        <f>W30*Assumptions!$D$41*30</f>
        <v/>
      </c>
      <c r="X31" s="7">
        <f>X30*Assumptions!$D$41*30</f>
        <v/>
      </c>
      <c r="Y31" s="7">
        <f>Y30*Assumptions!$D$41*30</f>
        <v/>
      </c>
      <c r="Z31" s="7">
        <f>Z30*Assumptions!$D$41*30</f>
        <v/>
      </c>
    </row>
    <row r="32">
      <c r="A32" t="inlineStr">
        <is>
          <t>EN: חשיפות ביניים</t>
        </is>
      </c>
      <c r="B32" s="6">
        <f>SUM(C32:Z32)</f>
        <v/>
      </c>
      <c r="C32" s="7">
        <f>C31*Assumptions!$D$43*(1-Assumptions!$D$45)*(1-(Assumptions!$D$52*(Assumptions!$D$24+Assumptions!$D$26)))*Assumptions!$D$46</f>
        <v/>
      </c>
      <c r="D32" s="7">
        <f>D31*Assumptions!$D$43*(1-Assumptions!$D$45)*(1-(Assumptions!$D$52*(Assumptions!$D$24+Assumptions!$D$26)))*Assumptions!$D$46</f>
        <v/>
      </c>
      <c r="E32" s="7">
        <f>E31*Assumptions!$D$43*(1-Assumptions!$D$45)*(1-(Assumptions!$D$52*(Assumptions!$D$24+Assumptions!$D$26)))*Assumptions!$D$46</f>
        <v/>
      </c>
      <c r="F32" s="7">
        <f>F31*Assumptions!$D$43*(1-Assumptions!$D$45)*(1-(Assumptions!$D$52*(Assumptions!$D$24+Assumptions!$D$26)))*Assumptions!$D$46</f>
        <v/>
      </c>
      <c r="G32" s="7">
        <f>G31*Assumptions!$D$43*(1-Assumptions!$D$45)*(1-(Assumptions!$D$52*(Assumptions!$D$24+Assumptions!$D$26)))*Assumptions!$D$46</f>
        <v/>
      </c>
      <c r="H32" s="7">
        <f>H31*Assumptions!$D$43*(1-Assumptions!$D$45)*(1-(Assumptions!$D$52*(Assumptions!$D$24+Assumptions!$D$26)))*Assumptions!$D$46</f>
        <v/>
      </c>
      <c r="I32" s="7">
        <f>I31*Assumptions!$D$43*(1-Assumptions!$D$45)*(1-(Assumptions!$D$52*(Assumptions!$D$24+Assumptions!$D$26)))*Assumptions!$D$46</f>
        <v/>
      </c>
      <c r="J32" s="7">
        <f>J31*Assumptions!$D$43*(1-Assumptions!$D$45)*(1-(Assumptions!$D$52*(Assumptions!$D$24+Assumptions!$D$26)))*Assumptions!$D$46</f>
        <v/>
      </c>
      <c r="K32" s="7">
        <f>K31*Assumptions!$D$43*(1-Assumptions!$D$45)*(1-(Assumptions!$D$52*(Assumptions!$D$24+Assumptions!$D$26)))*Assumptions!$D$46</f>
        <v/>
      </c>
      <c r="L32" s="7">
        <f>L31*Assumptions!$D$43*(1-Assumptions!$D$45)*(1-(Assumptions!$D$52*(Assumptions!$D$24+Assumptions!$D$26)))*Assumptions!$D$46</f>
        <v/>
      </c>
      <c r="M32" s="7">
        <f>M31*Assumptions!$D$43*(1-Assumptions!$D$45)*(1-(Assumptions!$D$52*(Assumptions!$D$24+Assumptions!$D$26)))*Assumptions!$D$46</f>
        <v/>
      </c>
      <c r="N32" s="7">
        <f>N31*Assumptions!$D$43*(1-Assumptions!$D$45)*(1-(Assumptions!$D$52*(Assumptions!$D$24+Assumptions!$D$26)))*Assumptions!$D$46</f>
        <v/>
      </c>
      <c r="O32" s="7">
        <f>O31*Assumptions!$D$43*(1-Assumptions!$D$45)*(1-(Assumptions!$D$52*(Assumptions!$D$24+Assumptions!$D$26)))*Assumptions!$D$46</f>
        <v/>
      </c>
      <c r="P32" s="7">
        <f>P31*Assumptions!$D$43*(1-Assumptions!$D$45)*(1-(Assumptions!$D$52*(Assumptions!$D$24+Assumptions!$D$26)))*Assumptions!$D$46</f>
        <v/>
      </c>
      <c r="Q32" s="7">
        <f>Q31*Assumptions!$D$43*(1-Assumptions!$D$45)*(1-(Assumptions!$D$52*(Assumptions!$D$24+Assumptions!$D$26)))*Assumptions!$D$46</f>
        <v/>
      </c>
      <c r="R32" s="7">
        <f>R31*Assumptions!$D$43*(1-Assumptions!$D$45)*(1-(Assumptions!$D$52*(Assumptions!$D$24+Assumptions!$D$26)))*Assumptions!$D$46</f>
        <v/>
      </c>
      <c r="S32" s="7">
        <f>S31*Assumptions!$D$43*(1-Assumptions!$D$45)*(1-(Assumptions!$D$52*(Assumptions!$D$24+Assumptions!$D$26)))*Assumptions!$D$46</f>
        <v/>
      </c>
      <c r="T32" s="7">
        <f>T31*Assumptions!$D$43*(1-Assumptions!$D$45)*(1-(Assumptions!$D$52*(Assumptions!$D$24+Assumptions!$D$26)))*Assumptions!$D$46</f>
        <v/>
      </c>
      <c r="U32" s="7">
        <f>U31*Assumptions!$D$43*(1-Assumptions!$D$45)*(1-(Assumptions!$D$52*(Assumptions!$D$24+Assumptions!$D$26)))*Assumptions!$D$46</f>
        <v/>
      </c>
      <c r="V32" s="7">
        <f>V31*Assumptions!$D$43*(1-Assumptions!$D$45)*(1-(Assumptions!$D$52*(Assumptions!$D$24+Assumptions!$D$26)))*Assumptions!$D$46</f>
        <v/>
      </c>
      <c r="W32" s="7">
        <f>W31*Assumptions!$D$43*(1-Assumptions!$D$45)*(1-(Assumptions!$D$52*(Assumptions!$D$24+Assumptions!$D$26)))*Assumptions!$D$46</f>
        <v/>
      </c>
      <c r="X32" s="7">
        <f>X31*Assumptions!$D$43*(1-Assumptions!$D$45)*(1-(Assumptions!$D$52*(Assumptions!$D$24+Assumptions!$D$26)))*Assumptions!$D$46</f>
        <v/>
      </c>
      <c r="Y32" s="7">
        <f>Y31*Assumptions!$D$43*(1-Assumptions!$D$45)*(1-(Assumptions!$D$52*(Assumptions!$D$24+Assumptions!$D$26)))*Assumptions!$D$46</f>
        <v/>
      </c>
      <c r="Z32" s="7">
        <f>Z31*Assumptions!$D$43*(1-Assumptions!$D$45)*(1-(Assumptions!$D$52*(Assumptions!$D$24+Assumptions!$D$26)))*Assumptions!$D$46</f>
        <v/>
      </c>
    </row>
    <row r="33">
      <c r="A33" t="inlineStr">
        <is>
          <t>EN: חשיפות מתוגמלות</t>
        </is>
      </c>
      <c r="B33" s="6">
        <f>SUM(C33:Z33)</f>
        <v/>
      </c>
      <c r="C33" s="7">
        <f>C31*Assumptions!$D$44*Assumptions!$D$46</f>
        <v/>
      </c>
      <c r="D33" s="7">
        <f>D31*Assumptions!$D$44*Assumptions!$D$46</f>
        <v/>
      </c>
      <c r="E33" s="7">
        <f>E31*Assumptions!$D$44*Assumptions!$D$46</f>
        <v/>
      </c>
      <c r="F33" s="7">
        <f>F31*Assumptions!$D$44*Assumptions!$D$46</f>
        <v/>
      </c>
      <c r="G33" s="7">
        <f>G31*Assumptions!$D$44*Assumptions!$D$46</f>
        <v/>
      </c>
      <c r="H33" s="7">
        <f>H31*Assumptions!$D$44*Assumptions!$D$46</f>
        <v/>
      </c>
      <c r="I33" s="7">
        <f>I31*Assumptions!$D$44*Assumptions!$D$46</f>
        <v/>
      </c>
      <c r="J33" s="7">
        <f>J31*Assumptions!$D$44*Assumptions!$D$46</f>
        <v/>
      </c>
      <c r="K33" s="7">
        <f>K31*Assumptions!$D$44*Assumptions!$D$46</f>
        <v/>
      </c>
      <c r="L33" s="7">
        <f>L31*Assumptions!$D$44*Assumptions!$D$46</f>
        <v/>
      </c>
      <c r="M33" s="7">
        <f>M31*Assumptions!$D$44*Assumptions!$D$46</f>
        <v/>
      </c>
      <c r="N33" s="7">
        <f>N31*Assumptions!$D$44*Assumptions!$D$46</f>
        <v/>
      </c>
      <c r="O33" s="7">
        <f>O31*Assumptions!$D$44*Assumptions!$D$46</f>
        <v/>
      </c>
      <c r="P33" s="7">
        <f>P31*Assumptions!$D$44*Assumptions!$D$46</f>
        <v/>
      </c>
      <c r="Q33" s="7">
        <f>Q31*Assumptions!$D$44*Assumptions!$D$46</f>
        <v/>
      </c>
      <c r="R33" s="7">
        <f>R31*Assumptions!$D$44*Assumptions!$D$46</f>
        <v/>
      </c>
      <c r="S33" s="7">
        <f>S31*Assumptions!$D$44*Assumptions!$D$46</f>
        <v/>
      </c>
      <c r="T33" s="7">
        <f>T31*Assumptions!$D$44*Assumptions!$D$46</f>
        <v/>
      </c>
      <c r="U33" s="7">
        <f>U31*Assumptions!$D$44*Assumptions!$D$46</f>
        <v/>
      </c>
      <c r="V33" s="7">
        <f>V31*Assumptions!$D$44*Assumptions!$D$46</f>
        <v/>
      </c>
      <c r="W33" s="7">
        <f>W31*Assumptions!$D$44*Assumptions!$D$46</f>
        <v/>
      </c>
      <c r="X33" s="7">
        <f>X31*Assumptions!$D$44*Assumptions!$D$46</f>
        <v/>
      </c>
      <c r="Y33" s="7">
        <f>Y31*Assumptions!$D$44*Assumptions!$D$46</f>
        <v/>
      </c>
      <c r="Z33" s="7">
        <f>Z31*Assumptions!$D$44*Assumptions!$D$46</f>
        <v/>
      </c>
    </row>
    <row r="34">
      <c r="A34" t="inlineStr">
        <is>
          <t>EN: הכנסת פרסום ($)</t>
        </is>
      </c>
      <c r="B34" s="6">
        <f>SUM(C34:Z34)</f>
        <v/>
      </c>
      <c r="C34" s="7">
        <f>(C32*Assumptions!$D$50+C33*Assumptions!$D$49)/1000</f>
        <v/>
      </c>
      <c r="D34" s="7">
        <f>(D32*Assumptions!$D$50+D33*Assumptions!$D$49)/1000</f>
        <v/>
      </c>
      <c r="E34" s="7">
        <f>(E32*Assumptions!$D$50+E33*Assumptions!$D$49)/1000</f>
        <v/>
      </c>
      <c r="F34" s="7">
        <f>(F32*Assumptions!$D$50+F33*Assumptions!$D$49)/1000</f>
        <v/>
      </c>
      <c r="G34" s="7">
        <f>(G32*Assumptions!$D$50+G33*Assumptions!$D$49)/1000</f>
        <v/>
      </c>
      <c r="H34" s="7">
        <f>(H32*Assumptions!$D$50+H33*Assumptions!$D$49)/1000</f>
        <v/>
      </c>
      <c r="I34" s="7">
        <f>(I32*Assumptions!$D$50+I33*Assumptions!$D$49)/1000</f>
        <v/>
      </c>
      <c r="J34" s="7">
        <f>(J32*Assumptions!$D$50+J33*Assumptions!$D$49)/1000</f>
        <v/>
      </c>
      <c r="K34" s="7">
        <f>(K32*Assumptions!$D$50+K33*Assumptions!$D$49)/1000</f>
        <v/>
      </c>
      <c r="L34" s="7">
        <f>(L32*Assumptions!$D$50+L33*Assumptions!$D$49)/1000</f>
        <v/>
      </c>
      <c r="M34" s="7">
        <f>(M32*Assumptions!$D$50+M33*Assumptions!$D$49)/1000</f>
        <v/>
      </c>
      <c r="N34" s="7">
        <f>(N32*Assumptions!$D$50+N33*Assumptions!$D$49)/1000</f>
        <v/>
      </c>
      <c r="O34" s="7">
        <f>(O32*Assumptions!$D$50+O33*Assumptions!$D$49)/1000</f>
        <v/>
      </c>
      <c r="P34" s="7">
        <f>(P32*Assumptions!$D$50+P33*Assumptions!$D$49)/1000</f>
        <v/>
      </c>
      <c r="Q34" s="7">
        <f>(Q32*Assumptions!$D$50+Q33*Assumptions!$D$49)/1000</f>
        <v/>
      </c>
      <c r="R34" s="7">
        <f>(R32*Assumptions!$D$50+R33*Assumptions!$D$49)/1000</f>
        <v/>
      </c>
      <c r="S34" s="7">
        <f>(S32*Assumptions!$D$50+S33*Assumptions!$D$49)/1000</f>
        <v/>
      </c>
      <c r="T34" s="7">
        <f>(T32*Assumptions!$D$50+T33*Assumptions!$D$49)/1000</f>
        <v/>
      </c>
      <c r="U34" s="7">
        <f>(U32*Assumptions!$D$50+U33*Assumptions!$D$49)/1000</f>
        <v/>
      </c>
      <c r="V34" s="7">
        <f>(V32*Assumptions!$D$50+V33*Assumptions!$D$49)/1000</f>
        <v/>
      </c>
      <c r="W34" s="7">
        <f>(W32*Assumptions!$D$50+W33*Assumptions!$D$49)/1000</f>
        <v/>
      </c>
      <c r="X34" s="7">
        <f>(X32*Assumptions!$D$50+X33*Assumptions!$D$49)/1000</f>
        <v/>
      </c>
      <c r="Y34" s="7">
        <f>(Y32*Assumptions!$D$50+Y33*Assumptions!$D$49)/1000</f>
        <v/>
      </c>
      <c r="Z34" s="7">
        <f>(Z32*Assumptions!$D$50+Z33*Assumptions!$D$49)/1000</f>
        <v/>
      </c>
    </row>
    <row r="35">
      <c r="A35" t="inlineStr">
        <is>
          <t>EN: הכנסת פרסום (₪)</t>
        </is>
      </c>
      <c r="B35" s="6">
        <f>SUM(C35:Z35)</f>
        <v/>
      </c>
      <c r="C35" s="7">
        <f>C34*Assumptions!$D$22</f>
        <v/>
      </c>
      <c r="D35" s="7">
        <f>D34*Assumptions!$D$22</f>
        <v/>
      </c>
      <c r="E35" s="7">
        <f>E34*Assumptions!$D$22</f>
        <v/>
      </c>
      <c r="F35" s="7">
        <f>F34*Assumptions!$D$22</f>
        <v/>
      </c>
      <c r="G35" s="7">
        <f>G34*Assumptions!$D$22</f>
        <v/>
      </c>
      <c r="H35" s="7">
        <f>H34*Assumptions!$D$22</f>
        <v/>
      </c>
      <c r="I35" s="7">
        <f>I34*Assumptions!$D$22</f>
        <v/>
      </c>
      <c r="J35" s="7">
        <f>J34*Assumptions!$D$22</f>
        <v/>
      </c>
      <c r="K35" s="7">
        <f>K34*Assumptions!$D$22</f>
        <v/>
      </c>
      <c r="L35" s="7">
        <f>L34*Assumptions!$D$22</f>
        <v/>
      </c>
      <c r="M35" s="7">
        <f>M34*Assumptions!$D$22</f>
        <v/>
      </c>
      <c r="N35" s="7">
        <f>N34*Assumptions!$D$22</f>
        <v/>
      </c>
      <c r="O35" s="7">
        <f>O34*Assumptions!$D$22</f>
        <v/>
      </c>
      <c r="P35" s="7">
        <f>P34*Assumptions!$D$22</f>
        <v/>
      </c>
      <c r="Q35" s="7">
        <f>Q34*Assumptions!$D$22</f>
        <v/>
      </c>
      <c r="R35" s="7">
        <f>R34*Assumptions!$D$22</f>
        <v/>
      </c>
      <c r="S35" s="7">
        <f>S34*Assumptions!$D$22</f>
        <v/>
      </c>
      <c r="T35" s="7">
        <f>T34*Assumptions!$D$22</f>
        <v/>
      </c>
      <c r="U35" s="7">
        <f>U34*Assumptions!$D$22</f>
        <v/>
      </c>
      <c r="V35" s="7">
        <f>V34*Assumptions!$D$22</f>
        <v/>
      </c>
      <c r="W35" s="7">
        <f>W34*Assumptions!$D$22</f>
        <v/>
      </c>
      <c r="X35" s="7">
        <f>X34*Assumptions!$D$22</f>
        <v/>
      </c>
      <c r="Y35" s="7">
        <f>Y34*Assumptions!$D$22</f>
        <v/>
      </c>
      <c r="Z35" s="7">
        <f>Z34*Assumptions!$D$22</f>
        <v/>
      </c>
    </row>
    <row r="36">
      <c r="A36" t="inlineStr">
        <is>
          <t>EN: רוכשי IAP</t>
        </is>
      </c>
      <c r="B36" s="6">
        <f>SUM(C36:Z36)</f>
        <v/>
      </c>
      <c r="C36" s="7">
        <f>C28*Assumptions!$D$52</f>
        <v/>
      </c>
      <c r="D36" s="7">
        <f>D28*Assumptions!$D$52</f>
        <v/>
      </c>
      <c r="E36" s="7">
        <f>E28*Assumptions!$D$52</f>
        <v/>
      </c>
      <c r="F36" s="7">
        <f>F28*Assumptions!$D$52</f>
        <v/>
      </c>
      <c r="G36" s="7">
        <f>G28*Assumptions!$D$52</f>
        <v/>
      </c>
      <c r="H36" s="7">
        <f>H28*Assumptions!$D$52</f>
        <v/>
      </c>
      <c r="I36" s="7">
        <f>I28*Assumptions!$D$52</f>
        <v/>
      </c>
      <c r="J36" s="7">
        <f>J28*Assumptions!$D$52</f>
        <v/>
      </c>
      <c r="K36" s="7">
        <f>K28*Assumptions!$D$52</f>
        <v/>
      </c>
      <c r="L36" s="7">
        <f>L28*Assumptions!$D$52</f>
        <v/>
      </c>
      <c r="M36" s="7">
        <f>M28*Assumptions!$D$52</f>
        <v/>
      </c>
      <c r="N36" s="7">
        <f>N28*Assumptions!$D$52</f>
        <v/>
      </c>
      <c r="O36" s="7">
        <f>O28*Assumptions!$D$52</f>
        <v/>
      </c>
      <c r="P36" s="7">
        <f>P28*Assumptions!$D$52</f>
        <v/>
      </c>
      <c r="Q36" s="7">
        <f>Q28*Assumptions!$D$52</f>
        <v/>
      </c>
      <c r="R36" s="7">
        <f>R28*Assumptions!$D$52</f>
        <v/>
      </c>
      <c r="S36" s="7">
        <f>S28*Assumptions!$D$52</f>
        <v/>
      </c>
      <c r="T36" s="7">
        <f>T28*Assumptions!$D$52</f>
        <v/>
      </c>
      <c r="U36" s="7">
        <f>U28*Assumptions!$D$52</f>
        <v/>
      </c>
      <c r="V36" s="7">
        <f>V28*Assumptions!$D$52</f>
        <v/>
      </c>
      <c r="W36" s="7">
        <f>W28*Assumptions!$D$52</f>
        <v/>
      </c>
      <c r="X36" s="7">
        <f>X28*Assumptions!$D$52</f>
        <v/>
      </c>
      <c r="Y36" s="7">
        <f>Y28*Assumptions!$D$52</f>
        <v/>
      </c>
      <c r="Z36" s="7">
        <f>Z28*Assumptions!$D$52</f>
        <v/>
      </c>
    </row>
    <row r="37">
      <c r="A37" t="inlineStr">
        <is>
          <t>EN: IAP ברוטו (₪, מחיר צרכן)</t>
        </is>
      </c>
      <c r="B37" s="6">
        <f>SUM(C37:Z37)</f>
        <v/>
      </c>
      <c r="C37" s="7">
        <f>C36*(Assumptions!$D$24*Assumptions!$D$12+Assumptions!$D$25*Assumptions!$D$13+Assumptions!$D$26*Assumptions!$D$14)*Assumptions!$D$22</f>
        <v/>
      </c>
      <c r="D37" s="7">
        <f>D36*(Assumptions!$D$24*Assumptions!$D$12+Assumptions!$D$25*Assumptions!$D$13+Assumptions!$D$26*Assumptions!$D$14)*Assumptions!$D$22</f>
        <v/>
      </c>
      <c r="E37" s="7">
        <f>E36*(Assumptions!$D$24*Assumptions!$D$12+Assumptions!$D$25*Assumptions!$D$13+Assumptions!$D$26*Assumptions!$D$14)*Assumptions!$D$22</f>
        <v/>
      </c>
      <c r="F37" s="7">
        <f>F36*(Assumptions!$D$24*Assumptions!$D$12+Assumptions!$D$25*Assumptions!$D$13+Assumptions!$D$26*Assumptions!$D$14)*Assumptions!$D$22</f>
        <v/>
      </c>
      <c r="G37" s="7">
        <f>G36*(Assumptions!$D$24*Assumptions!$D$12+Assumptions!$D$25*Assumptions!$D$13+Assumptions!$D$26*Assumptions!$D$14)*Assumptions!$D$22</f>
        <v/>
      </c>
      <c r="H37" s="7">
        <f>H36*(Assumptions!$D$24*Assumptions!$D$12+Assumptions!$D$25*Assumptions!$D$13+Assumptions!$D$26*Assumptions!$D$14)*Assumptions!$D$22</f>
        <v/>
      </c>
      <c r="I37" s="7">
        <f>I36*(Assumptions!$D$24*Assumptions!$D$12+Assumptions!$D$25*Assumptions!$D$13+Assumptions!$D$26*Assumptions!$D$14)*Assumptions!$D$22</f>
        <v/>
      </c>
      <c r="J37" s="7">
        <f>J36*(Assumptions!$D$24*Assumptions!$D$12+Assumptions!$D$25*Assumptions!$D$13+Assumptions!$D$26*Assumptions!$D$14)*Assumptions!$D$22</f>
        <v/>
      </c>
      <c r="K37" s="7">
        <f>K36*(Assumptions!$D$24*Assumptions!$D$12+Assumptions!$D$25*Assumptions!$D$13+Assumptions!$D$26*Assumptions!$D$14)*Assumptions!$D$22</f>
        <v/>
      </c>
      <c r="L37" s="7">
        <f>L36*(Assumptions!$D$24*Assumptions!$D$12+Assumptions!$D$25*Assumptions!$D$13+Assumptions!$D$26*Assumptions!$D$14)*Assumptions!$D$22</f>
        <v/>
      </c>
      <c r="M37" s="7">
        <f>M36*(Assumptions!$D$24*Assumptions!$D$12+Assumptions!$D$25*Assumptions!$D$13+Assumptions!$D$26*Assumptions!$D$14)*Assumptions!$D$22</f>
        <v/>
      </c>
      <c r="N37" s="7">
        <f>N36*(Assumptions!$D$24*Assumptions!$D$12+Assumptions!$D$25*Assumptions!$D$13+Assumptions!$D$26*Assumptions!$D$14)*Assumptions!$D$22</f>
        <v/>
      </c>
      <c r="O37" s="7">
        <f>O36*(Assumptions!$D$24*Assumptions!$D$12+Assumptions!$D$25*Assumptions!$D$13+Assumptions!$D$26*Assumptions!$D$14)*Assumptions!$D$22</f>
        <v/>
      </c>
      <c r="P37" s="7">
        <f>P36*(Assumptions!$D$24*Assumptions!$D$12+Assumptions!$D$25*Assumptions!$D$13+Assumptions!$D$26*Assumptions!$D$14)*Assumptions!$D$22</f>
        <v/>
      </c>
      <c r="Q37" s="7">
        <f>Q36*(Assumptions!$D$24*Assumptions!$D$12+Assumptions!$D$25*Assumptions!$D$13+Assumptions!$D$26*Assumptions!$D$14)*Assumptions!$D$22</f>
        <v/>
      </c>
      <c r="R37" s="7">
        <f>R36*(Assumptions!$D$24*Assumptions!$D$12+Assumptions!$D$25*Assumptions!$D$13+Assumptions!$D$26*Assumptions!$D$14)*Assumptions!$D$22</f>
        <v/>
      </c>
      <c r="S37" s="7">
        <f>S36*(Assumptions!$D$24*Assumptions!$D$12+Assumptions!$D$25*Assumptions!$D$13+Assumptions!$D$26*Assumptions!$D$14)*Assumptions!$D$22</f>
        <v/>
      </c>
      <c r="T37" s="7">
        <f>T36*(Assumptions!$D$24*Assumptions!$D$12+Assumptions!$D$25*Assumptions!$D$13+Assumptions!$D$26*Assumptions!$D$14)*Assumptions!$D$22</f>
        <v/>
      </c>
      <c r="U37" s="7">
        <f>U36*(Assumptions!$D$24*Assumptions!$D$12+Assumptions!$D$25*Assumptions!$D$13+Assumptions!$D$26*Assumptions!$D$14)*Assumptions!$D$22</f>
        <v/>
      </c>
      <c r="V37" s="7">
        <f>V36*(Assumptions!$D$24*Assumptions!$D$12+Assumptions!$D$25*Assumptions!$D$13+Assumptions!$D$26*Assumptions!$D$14)*Assumptions!$D$22</f>
        <v/>
      </c>
      <c r="W37" s="7">
        <f>W36*(Assumptions!$D$24*Assumptions!$D$12+Assumptions!$D$25*Assumptions!$D$13+Assumptions!$D$26*Assumptions!$D$14)*Assumptions!$D$22</f>
        <v/>
      </c>
      <c r="X37" s="7">
        <f>X36*(Assumptions!$D$24*Assumptions!$D$12+Assumptions!$D$25*Assumptions!$D$13+Assumptions!$D$26*Assumptions!$D$14)*Assumptions!$D$22</f>
        <v/>
      </c>
      <c r="Y37" s="7">
        <f>Y36*(Assumptions!$D$24*Assumptions!$D$12+Assumptions!$D$25*Assumptions!$D$13+Assumptions!$D$26*Assumptions!$D$14)*Assumptions!$D$22</f>
        <v/>
      </c>
      <c r="Z37" s="7">
        <f>Z36*(Assumptions!$D$24*Assumptions!$D$12+Assumptions!$D$25*Assumptions!$D$13+Assumptions!$D$26*Assumptions!$D$14)*Assumptions!$D$22</f>
        <v/>
      </c>
    </row>
    <row r="38">
      <c r="A38" t="inlineStr">
        <is>
          <t>EN: IAP נטו אחרי מסים ועמלת חנות (₪)</t>
        </is>
      </c>
      <c r="B38" s="6">
        <f>SUM(C38:Z38)</f>
        <v/>
      </c>
      <c r="C38" s="7">
        <f>C37*(1-Assumptions!$D$21)*(1-Assumptions!$D$19)</f>
        <v/>
      </c>
      <c r="D38" s="7">
        <f>D37*(1-Assumptions!$D$21)*(1-Assumptions!$D$19)</f>
        <v/>
      </c>
      <c r="E38" s="7">
        <f>E37*(1-Assumptions!$D$21)*(1-Assumptions!$D$19)</f>
        <v/>
      </c>
      <c r="F38" s="7">
        <f>F37*(1-Assumptions!$D$21)*(1-Assumptions!$D$19)</f>
        <v/>
      </c>
      <c r="G38" s="7">
        <f>G37*(1-Assumptions!$D$21)*(1-Assumptions!$D$19)</f>
        <v/>
      </c>
      <c r="H38" s="7">
        <f>H37*(1-Assumptions!$D$21)*(1-Assumptions!$D$19)</f>
        <v/>
      </c>
      <c r="I38" s="7">
        <f>I37*(1-Assumptions!$D$21)*(1-Assumptions!$D$19)</f>
        <v/>
      </c>
      <c r="J38" s="7">
        <f>J37*(1-Assumptions!$D$21)*(1-Assumptions!$D$19)</f>
        <v/>
      </c>
      <c r="K38" s="7">
        <f>K37*(1-Assumptions!$D$21)*(1-Assumptions!$D$19)</f>
        <v/>
      </c>
      <c r="L38" s="7">
        <f>L37*(1-Assumptions!$D$21)*(1-Assumptions!$D$19)</f>
        <v/>
      </c>
      <c r="M38" s="7">
        <f>M37*(1-Assumptions!$D$21)*(1-Assumptions!$D$19)</f>
        <v/>
      </c>
      <c r="N38" s="7">
        <f>N37*(1-Assumptions!$D$21)*(1-Assumptions!$D$19)</f>
        <v/>
      </c>
      <c r="O38" s="7">
        <f>O37*(1-Assumptions!$D$21)*(1-Assumptions!$D$19)</f>
        <v/>
      </c>
      <c r="P38" s="7">
        <f>P37*(1-Assumptions!$D$21)*(1-Assumptions!$D$19)</f>
        <v/>
      </c>
      <c r="Q38" s="7">
        <f>Q37*(1-Assumptions!$D$21)*(1-Assumptions!$D$19)</f>
        <v/>
      </c>
      <c r="R38" s="7">
        <f>R37*(1-Assumptions!$D$21)*(1-Assumptions!$D$19)</f>
        <v/>
      </c>
      <c r="S38" s="7">
        <f>S37*(1-Assumptions!$D$21)*(1-Assumptions!$D$19)</f>
        <v/>
      </c>
      <c r="T38" s="7">
        <f>T37*(1-Assumptions!$D$21)*(1-Assumptions!$D$19)</f>
        <v/>
      </c>
      <c r="U38" s="7">
        <f>U37*(1-Assumptions!$D$21)*(1-Assumptions!$D$19)</f>
        <v/>
      </c>
      <c r="V38" s="7">
        <f>V37*(1-Assumptions!$D$21)*(1-Assumptions!$D$19)</f>
        <v/>
      </c>
      <c r="W38" s="7">
        <f>W37*(1-Assumptions!$D$21)*(1-Assumptions!$D$19)</f>
        <v/>
      </c>
      <c r="X38" s="7">
        <f>X37*(1-Assumptions!$D$21)*(1-Assumptions!$D$19)</f>
        <v/>
      </c>
      <c r="Y38" s="7">
        <f>Y37*(1-Assumptions!$D$21)*(1-Assumptions!$D$19)</f>
        <v/>
      </c>
      <c r="Z38" s="7">
        <f>Z37*(1-Assumptions!$D$21)*(1-Assumptions!$D$19)</f>
        <v/>
      </c>
    </row>
    <row r="40">
      <c r="A40" s="1" t="inlineStr">
        <is>
          <t>-- סיכום --</t>
        </is>
      </c>
    </row>
    <row r="41">
      <c r="A41" t="inlineStr">
        <is>
          <t>הכנסות - עברית בלבד (פרסום + IAP נטו + B2B)</t>
        </is>
      </c>
      <c r="B41" s="6">
        <f>SUM(C41:Z41)</f>
        <v/>
      </c>
      <c r="C41" s="7">
        <f>C15+C18+C22</f>
        <v/>
      </c>
      <c r="D41" s="7">
        <f>D15+D18+D22</f>
        <v/>
      </c>
      <c r="E41" s="7">
        <f>E15+E18+E22</f>
        <v/>
      </c>
      <c r="F41" s="7">
        <f>F15+F18+F22</f>
        <v/>
      </c>
      <c r="G41" s="7">
        <f>G15+G18+G22</f>
        <v/>
      </c>
      <c r="H41" s="7">
        <f>H15+H18+H22</f>
        <v/>
      </c>
      <c r="I41" s="7">
        <f>I15+I18+I22</f>
        <v/>
      </c>
      <c r="J41" s="7">
        <f>J15+J18+J22</f>
        <v/>
      </c>
      <c r="K41" s="7">
        <f>K15+K18+K22</f>
        <v/>
      </c>
      <c r="L41" s="7">
        <f>L15+L18+L22</f>
        <v/>
      </c>
      <c r="M41" s="7">
        <f>M15+M18+M22</f>
        <v/>
      </c>
      <c r="N41" s="7">
        <f>N15+N18+N22</f>
        <v/>
      </c>
      <c r="O41" s="7">
        <f>O15+O18+O22</f>
        <v/>
      </c>
      <c r="P41" s="7">
        <f>P15+P18+P22</f>
        <v/>
      </c>
      <c r="Q41" s="7">
        <f>Q15+Q18+Q22</f>
        <v/>
      </c>
      <c r="R41" s="7">
        <f>R15+R18+R22</f>
        <v/>
      </c>
      <c r="S41" s="7">
        <f>S15+S18+S22</f>
        <v/>
      </c>
      <c r="T41" s="7">
        <f>T15+T18+T22</f>
        <v/>
      </c>
      <c r="U41" s="7">
        <f>U15+U18+U22</f>
        <v/>
      </c>
      <c r="V41" s="7">
        <f>V15+V18+V22</f>
        <v/>
      </c>
      <c r="W41" s="7">
        <f>W15+W18+W22</f>
        <v/>
      </c>
      <c r="X41" s="7">
        <f>X15+X18+X22</f>
        <v/>
      </c>
      <c r="Y41" s="7">
        <f>Y15+Y18+Y22</f>
        <v/>
      </c>
      <c r="Z41" s="7">
        <f>Z15+Z18+Z22</f>
        <v/>
      </c>
    </row>
    <row r="42">
      <c r="A42" t="inlineStr">
        <is>
          <t>הכנסות שוק אנגלי (פרסום + IAP נטו)</t>
        </is>
      </c>
      <c r="B42" s="6">
        <f>SUM(C42:Z42)</f>
        <v/>
      </c>
      <c r="C42" s="7">
        <f>C35+C38</f>
        <v/>
      </c>
      <c r="D42" s="7">
        <f>D35+D38</f>
        <v/>
      </c>
      <c r="E42" s="7">
        <f>E35+E38</f>
        <v/>
      </c>
      <c r="F42" s="7">
        <f>F35+F38</f>
        <v/>
      </c>
      <c r="G42" s="7">
        <f>G35+G38</f>
        <v/>
      </c>
      <c r="H42" s="7">
        <f>H35+H38</f>
        <v/>
      </c>
      <c r="I42" s="7">
        <f>I35+I38</f>
        <v/>
      </c>
      <c r="J42" s="7">
        <f>J35+J38</f>
        <v/>
      </c>
      <c r="K42" s="7">
        <f>K35+K38</f>
        <v/>
      </c>
      <c r="L42" s="7">
        <f>L35+L38</f>
        <v/>
      </c>
      <c r="M42" s="7">
        <f>M35+M38</f>
        <v/>
      </c>
      <c r="N42" s="7">
        <f>N35+N38</f>
        <v/>
      </c>
      <c r="O42" s="7">
        <f>O35+O38</f>
        <v/>
      </c>
      <c r="P42" s="7">
        <f>P35+P38</f>
        <v/>
      </c>
      <c r="Q42" s="7">
        <f>Q35+Q38</f>
        <v/>
      </c>
      <c r="R42" s="7">
        <f>R35+R38</f>
        <v/>
      </c>
      <c r="S42" s="7">
        <f>S35+S38</f>
        <v/>
      </c>
      <c r="T42" s="7">
        <f>T35+T38</f>
        <v/>
      </c>
      <c r="U42" s="7">
        <f>U35+U38</f>
        <v/>
      </c>
      <c r="V42" s="7">
        <f>V35+V38</f>
        <v/>
      </c>
      <c r="W42" s="7">
        <f>W35+W38</f>
        <v/>
      </c>
      <c r="X42" s="7">
        <f>X35+X38</f>
        <v/>
      </c>
      <c r="Y42" s="7">
        <f>Y35+Y38</f>
        <v/>
      </c>
      <c r="Z42" s="7">
        <f>Z35+Z38</f>
        <v/>
      </c>
    </row>
    <row r="43">
      <c r="A43" t="inlineStr">
        <is>
          <t>הכנסות - עברית+אנגלית</t>
        </is>
      </c>
      <c r="B43" s="6">
        <f>SUM(C43:Z43)</f>
        <v/>
      </c>
      <c r="C43" s="7">
        <f>C41+C42</f>
        <v/>
      </c>
      <c r="D43" s="7">
        <f>D41+D42</f>
        <v/>
      </c>
      <c r="E43" s="7">
        <f>E41+E42</f>
        <v/>
      </c>
      <c r="F43" s="7">
        <f>F41+F42</f>
        <v/>
      </c>
      <c r="G43" s="7">
        <f>G41+G42</f>
        <v/>
      </c>
      <c r="H43" s="7">
        <f>H41+H42</f>
        <v/>
      </c>
      <c r="I43" s="7">
        <f>I41+I42</f>
        <v/>
      </c>
      <c r="J43" s="7">
        <f>J41+J42</f>
        <v/>
      </c>
      <c r="K43" s="7">
        <f>K41+K42</f>
        <v/>
      </c>
      <c r="L43" s="7">
        <f>L41+L42</f>
        <v/>
      </c>
      <c r="M43" s="7">
        <f>M41+M42</f>
        <v/>
      </c>
      <c r="N43" s="7">
        <f>N41+N42</f>
        <v/>
      </c>
      <c r="O43" s="7">
        <f>O41+O42</f>
        <v/>
      </c>
      <c r="P43" s="7">
        <f>P41+P42</f>
        <v/>
      </c>
      <c r="Q43" s="7">
        <f>Q41+Q42</f>
        <v/>
      </c>
      <c r="R43" s="7">
        <f>R41+R42</f>
        <v/>
      </c>
      <c r="S43" s="7">
        <f>S41+S42</f>
        <v/>
      </c>
      <c r="T43" s="7">
        <f>T41+T42</f>
        <v/>
      </c>
      <c r="U43" s="7">
        <f>U41+U42</f>
        <v/>
      </c>
      <c r="V43" s="7">
        <f>V41+V42</f>
        <v/>
      </c>
      <c r="W43" s="7">
        <f>W41+W42</f>
        <v/>
      </c>
      <c r="X43" s="7">
        <f>X41+X42</f>
        <v/>
      </c>
      <c r="Y43" s="7">
        <f>Y41+Y42</f>
        <v/>
      </c>
      <c r="Z43" s="7">
        <f>Z41+Z42</f>
        <v/>
      </c>
    </row>
    <row r="44">
      <c r="A44" t="inlineStr">
        <is>
          <t>עלויות מזומן - עברית בלבד (קבועות + פרסום בתשלום)</t>
        </is>
      </c>
      <c r="B44" s="6">
        <f>SUM(C44:Z44)</f>
        <v/>
      </c>
      <c r="C44" s="7">
        <f>Costs!C11+C6</f>
        <v/>
      </c>
      <c r="D44" s="7">
        <f>Costs!D11+D6</f>
        <v/>
      </c>
      <c r="E44" s="7">
        <f>Costs!E11+E6</f>
        <v/>
      </c>
      <c r="F44" s="7">
        <f>Costs!F11+F6</f>
        <v/>
      </c>
      <c r="G44" s="7">
        <f>Costs!G11+G6</f>
        <v/>
      </c>
      <c r="H44" s="7">
        <f>Costs!H11+H6</f>
        <v/>
      </c>
      <c r="I44" s="7">
        <f>Costs!I11+I6</f>
        <v/>
      </c>
      <c r="J44" s="7">
        <f>Costs!J11+J6</f>
        <v/>
      </c>
      <c r="K44" s="7">
        <f>Costs!K11+K6</f>
        <v/>
      </c>
      <c r="L44" s="7">
        <f>Costs!L11+L6</f>
        <v/>
      </c>
      <c r="M44" s="7">
        <f>Costs!M11+M6</f>
        <v/>
      </c>
      <c r="N44" s="7">
        <f>Costs!N11+N6</f>
        <v/>
      </c>
      <c r="O44" s="7">
        <f>Costs!O11+O6</f>
        <v/>
      </c>
      <c r="P44" s="7">
        <f>Costs!P11+P6</f>
        <v/>
      </c>
      <c r="Q44" s="7">
        <f>Costs!Q11+Q6</f>
        <v/>
      </c>
      <c r="R44" s="7">
        <f>Costs!R11+R6</f>
        <v/>
      </c>
      <c r="S44" s="7">
        <f>Costs!S11+S6</f>
        <v/>
      </c>
      <c r="T44" s="7">
        <f>Costs!T11+T6</f>
        <v/>
      </c>
      <c r="U44" s="7">
        <f>Costs!U11+U6</f>
        <v/>
      </c>
      <c r="V44" s="7">
        <f>Costs!V11+V6</f>
        <v/>
      </c>
      <c r="W44" s="7">
        <f>Costs!W11+W6</f>
        <v/>
      </c>
      <c r="X44" s="7">
        <f>Costs!X11+X6</f>
        <v/>
      </c>
      <c r="Y44" s="7">
        <f>Costs!Y11+Y6</f>
        <v/>
      </c>
      <c r="Z44" s="7">
        <f>Costs!Z11+Z6</f>
        <v/>
      </c>
    </row>
    <row r="45">
      <c r="A45" t="inlineStr">
        <is>
          <t>עלויות מזומן - עברית+אנגלית (כולל תרגום)</t>
        </is>
      </c>
      <c r="B45" s="6">
        <f>SUM(C45:Z45)</f>
        <v/>
      </c>
      <c r="C45" s="7">
        <f>C44+Costs!C12</f>
        <v/>
      </c>
      <c r="D45" s="7">
        <f>D44+Costs!D12</f>
        <v/>
      </c>
      <c r="E45" s="7">
        <f>E44+Costs!E12</f>
        <v/>
      </c>
      <c r="F45" s="7">
        <f>F44+Costs!F12</f>
        <v/>
      </c>
      <c r="G45" s="7">
        <f>G44+Costs!G12</f>
        <v/>
      </c>
      <c r="H45" s="7">
        <f>H44+Costs!H12</f>
        <v/>
      </c>
      <c r="I45" s="7">
        <f>I44+Costs!I12</f>
        <v/>
      </c>
      <c r="J45" s="7">
        <f>J44+Costs!J12</f>
        <v/>
      </c>
      <c r="K45" s="7">
        <f>K44+Costs!K12</f>
        <v/>
      </c>
      <c r="L45" s="7">
        <f>L44+Costs!L12</f>
        <v/>
      </c>
      <c r="M45" s="7">
        <f>M44+Costs!M12</f>
        <v/>
      </c>
      <c r="N45" s="7">
        <f>N44+Costs!N12</f>
        <v/>
      </c>
      <c r="O45" s="7">
        <f>O44+Costs!O12</f>
        <v/>
      </c>
      <c r="P45" s="7">
        <f>P44+Costs!P12</f>
        <v/>
      </c>
      <c r="Q45" s="7">
        <f>Q44+Costs!Q12</f>
        <v/>
      </c>
      <c r="R45" s="7">
        <f>R44+Costs!R12</f>
        <v/>
      </c>
      <c r="S45" s="7">
        <f>S44+Costs!S12</f>
        <v/>
      </c>
      <c r="T45" s="7">
        <f>T44+Costs!T12</f>
        <v/>
      </c>
      <c r="U45" s="7">
        <f>U44+Costs!U12</f>
        <v/>
      </c>
      <c r="V45" s="7">
        <f>V44+Costs!V12</f>
        <v/>
      </c>
      <c r="W45" s="7">
        <f>W44+Costs!W12</f>
        <v/>
      </c>
      <c r="X45" s="7">
        <f>X44+Costs!X12</f>
        <v/>
      </c>
      <c r="Y45" s="7">
        <f>Y44+Costs!Y12</f>
        <v/>
      </c>
      <c r="Z45" s="7">
        <f>Z44+Costs!Z12</f>
        <v/>
      </c>
    </row>
    <row r="46">
      <c r="A46" t="inlineStr">
        <is>
          <t>נטו חודשי - עברית בלבד</t>
        </is>
      </c>
      <c r="B46" s="6">
        <f>SUM(C46:Z46)</f>
        <v/>
      </c>
      <c r="C46" s="7">
        <f>C41-C44</f>
        <v/>
      </c>
      <c r="D46" s="7">
        <f>D41-D44</f>
        <v/>
      </c>
      <c r="E46" s="7">
        <f>E41-E44</f>
        <v/>
      </c>
      <c r="F46" s="7">
        <f>F41-F44</f>
        <v/>
      </c>
      <c r="G46" s="7">
        <f>G41-G44</f>
        <v/>
      </c>
      <c r="H46" s="7">
        <f>H41-H44</f>
        <v/>
      </c>
      <c r="I46" s="7">
        <f>I41-I44</f>
        <v/>
      </c>
      <c r="J46" s="7">
        <f>J41-J44</f>
        <v/>
      </c>
      <c r="K46" s="7">
        <f>K41-K44</f>
        <v/>
      </c>
      <c r="L46" s="7">
        <f>L41-L44</f>
        <v/>
      </c>
      <c r="M46" s="7">
        <f>M41-M44</f>
        <v/>
      </c>
      <c r="N46" s="7">
        <f>N41-N44</f>
        <v/>
      </c>
      <c r="O46" s="7">
        <f>O41-O44</f>
        <v/>
      </c>
      <c r="P46" s="7">
        <f>P41-P44</f>
        <v/>
      </c>
      <c r="Q46" s="7">
        <f>Q41-Q44</f>
        <v/>
      </c>
      <c r="R46" s="7">
        <f>R41-R44</f>
        <v/>
      </c>
      <c r="S46" s="7">
        <f>S41-S44</f>
        <v/>
      </c>
      <c r="T46" s="7">
        <f>T41-T44</f>
        <v/>
      </c>
      <c r="U46" s="7">
        <f>U41-U44</f>
        <v/>
      </c>
      <c r="V46" s="7">
        <f>V41-V44</f>
        <v/>
      </c>
      <c r="W46" s="7">
        <f>W41-W44</f>
        <v/>
      </c>
      <c r="X46" s="7">
        <f>X41-X44</f>
        <v/>
      </c>
      <c r="Y46" s="7">
        <f>Y41-Y44</f>
        <v/>
      </c>
      <c r="Z46" s="7">
        <f>Z41-Z44</f>
        <v/>
      </c>
    </row>
    <row r="47">
      <c r="A47" t="inlineStr">
        <is>
          <t>נטו חודשי - עברית+אנגלית</t>
        </is>
      </c>
      <c r="B47" s="6">
        <f>SUM(C47:Z47)</f>
        <v/>
      </c>
      <c r="C47" s="7">
        <f>C43-C45</f>
        <v/>
      </c>
      <c r="D47" s="7">
        <f>D43-D45</f>
        <v/>
      </c>
      <c r="E47" s="7">
        <f>E43-E45</f>
        <v/>
      </c>
      <c r="F47" s="7">
        <f>F43-F45</f>
        <v/>
      </c>
      <c r="G47" s="7">
        <f>G43-G45</f>
        <v/>
      </c>
      <c r="H47" s="7">
        <f>H43-H45</f>
        <v/>
      </c>
      <c r="I47" s="7">
        <f>I43-I45</f>
        <v/>
      </c>
      <c r="J47" s="7">
        <f>J43-J45</f>
        <v/>
      </c>
      <c r="K47" s="7">
        <f>K43-K45</f>
        <v/>
      </c>
      <c r="L47" s="7">
        <f>L43-L45</f>
        <v/>
      </c>
      <c r="M47" s="7">
        <f>M43-M45</f>
        <v/>
      </c>
      <c r="N47" s="7">
        <f>N43-N45</f>
        <v/>
      </c>
      <c r="O47" s="7">
        <f>O43-O45</f>
        <v/>
      </c>
      <c r="P47" s="7">
        <f>P43-P45</f>
        <v/>
      </c>
      <c r="Q47" s="7">
        <f>Q43-Q45</f>
        <v/>
      </c>
      <c r="R47" s="7">
        <f>R43-R45</f>
        <v/>
      </c>
      <c r="S47" s="7">
        <f>S43-S45</f>
        <v/>
      </c>
      <c r="T47" s="7">
        <f>T43-T45</f>
        <v/>
      </c>
      <c r="U47" s="7">
        <f>U43-U45</f>
        <v/>
      </c>
      <c r="V47" s="7">
        <f>V43-V45</f>
        <v/>
      </c>
      <c r="W47" s="7">
        <f>W43-W45</f>
        <v/>
      </c>
      <c r="X47" s="7">
        <f>X43-X45</f>
        <v/>
      </c>
      <c r="Y47" s="7">
        <f>Y43-Y45</f>
        <v/>
      </c>
      <c r="Z47" s="7">
        <f>Z43-Z45</f>
        <v/>
      </c>
    </row>
    <row r="48">
      <c r="A48" t="inlineStr">
        <is>
          <t>נטו מצטבר - עברית בלבד</t>
        </is>
      </c>
      <c r="B48" s="6" t="n"/>
      <c r="C48" s="7">
        <f>C46</f>
        <v/>
      </c>
      <c r="D48" s="7">
        <f>C48+D46</f>
        <v/>
      </c>
      <c r="E48" s="7">
        <f>D48+E46</f>
        <v/>
      </c>
      <c r="F48" s="7">
        <f>E48+F46</f>
        <v/>
      </c>
      <c r="G48" s="7">
        <f>F48+G46</f>
        <v/>
      </c>
      <c r="H48" s="7">
        <f>G48+H46</f>
        <v/>
      </c>
      <c r="I48" s="7">
        <f>H48+I46</f>
        <v/>
      </c>
      <c r="J48" s="7">
        <f>I48+J46</f>
        <v/>
      </c>
      <c r="K48" s="7">
        <f>J48+K46</f>
        <v/>
      </c>
      <c r="L48" s="7">
        <f>K48+L46</f>
        <v/>
      </c>
      <c r="M48" s="7">
        <f>L48+M46</f>
        <v/>
      </c>
      <c r="N48" s="7">
        <f>M48+N46</f>
        <v/>
      </c>
      <c r="O48" s="7">
        <f>N48+O46</f>
        <v/>
      </c>
      <c r="P48" s="7">
        <f>O48+P46</f>
        <v/>
      </c>
      <c r="Q48" s="7">
        <f>P48+Q46</f>
        <v/>
      </c>
      <c r="R48" s="7">
        <f>Q48+R46</f>
        <v/>
      </c>
      <c r="S48" s="7">
        <f>R48+S46</f>
        <v/>
      </c>
      <c r="T48" s="7">
        <f>S48+T46</f>
        <v/>
      </c>
      <c r="U48" s="7">
        <f>T48+U46</f>
        <v/>
      </c>
      <c r="V48" s="7">
        <f>U48+V46</f>
        <v/>
      </c>
      <c r="W48" s="7">
        <f>V48+W46</f>
        <v/>
      </c>
      <c r="X48" s="7">
        <f>W48+X46</f>
        <v/>
      </c>
      <c r="Y48" s="7">
        <f>X48+Y46</f>
        <v/>
      </c>
      <c r="Z48" s="7">
        <f>Y48+Z46</f>
        <v/>
      </c>
    </row>
    <row r="49">
      <c r="A49" t="inlineStr">
        <is>
          <t>נטו מצטבר - עברית+אנגלית</t>
        </is>
      </c>
      <c r="B49" s="6" t="n"/>
      <c r="C49" s="7">
        <f>C47</f>
        <v/>
      </c>
      <c r="D49" s="7">
        <f>C49+D47</f>
        <v/>
      </c>
      <c r="E49" s="7">
        <f>D49+E47</f>
        <v/>
      </c>
      <c r="F49" s="7">
        <f>E49+F47</f>
        <v/>
      </c>
      <c r="G49" s="7">
        <f>F49+G47</f>
        <v/>
      </c>
      <c r="H49" s="7">
        <f>G49+H47</f>
        <v/>
      </c>
      <c r="I49" s="7">
        <f>H49+I47</f>
        <v/>
      </c>
      <c r="J49" s="7">
        <f>I49+J47</f>
        <v/>
      </c>
      <c r="K49" s="7">
        <f>J49+K47</f>
        <v/>
      </c>
      <c r="L49" s="7">
        <f>K49+L47</f>
        <v/>
      </c>
      <c r="M49" s="7">
        <f>L49+M47</f>
        <v/>
      </c>
      <c r="N49" s="7">
        <f>M49+N47</f>
        <v/>
      </c>
      <c r="O49" s="7">
        <f>N49+O47</f>
        <v/>
      </c>
      <c r="P49" s="7">
        <f>O49+P47</f>
        <v/>
      </c>
      <c r="Q49" s="7">
        <f>P49+Q47</f>
        <v/>
      </c>
      <c r="R49" s="7">
        <f>Q49+R47</f>
        <v/>
      </c>
      <c r="S49" s="7">
        <f>R49+S47</f>
        <v/>
      </c>
      <c r="T49" s="7">
        <f>S49+T47</f>
        <v/>
      </c>
      <c r="U49" s="7">
        <f>T49+U47</f>
        <v/>
      </c>
      <c r="V49" s="7">
        <f>U49+V47</f>
        <v/>
      </c>
      <c r="W49" s="7">
        <f>V49+W47</f>
        <v/>
      </c>
      <c r="X49" s="7">
        <f>W49+X47</f>
        <v/>
      </c>
      <c r="Y49" s="7">
        <f>X49+Y47</f>
        <v/>
      </c>
      <c r="Z49" s="7">
        <f>Y49+Z47</f>
        <v/>
      </c>
    </row>
    <row r="50">
      <c r="A50" t="inlineStr">
        <is>
          <t>נטו מצטבר כולל ערך זמן פיתוח - עברית בלבד</t>
        </is>
      </c>
      <c r="B50" s="6" t="n"/>
      <c r="C50" s="7">
        <f>C48-SUM(Costs!$C$15:C$15)</f>
        <v/>
      </c>
      <c r="D50" s="7">
        <f>D48-SUM(Costs!$C$15:D$15)</f>
        <v/>
      </c>
      <c r="E50" s="7">
        <f>E48-SUM(Costs!$C$15:E$15)</f>
        <v/>
      </c>
      <c r="F50" s="7">
        <f>F48-SUM(Costs!$C$15:F$15)</f>
        <v/>
      </c>
      <c r="G50" s="7">
        <f>G48-SUM(Costs!$C$15:G$15)</f>
        <v/>
      </c>
      <c r="H50" s="7">
        <f>H48-SUM(Costs!$C$15:H$15)</f>
        <v/>
      </c>
      <c r="I50" s="7">
        <f>I48-SUM(Costs!$C$15:I$15)</f>
        <v/>
      </c>
      <c r="J50" s="7">
        <f>J48-SUM(Costs!$C$15:J$15)</f>
        <v/>
      </c>
      <c r="K50" s="7">
        <f>K48-SUM(Costs!$C$15:K$15)</f>
        <v/>
      </c>
      <c r="L50" s="7">
        <f>L48-SUM(Costs!$C$15:L$15)</f>
        <v/>
      </c>
      <c r="M50" s="7">
        <f>M48-SUM(Costs!$C$15:M$15)</f>
        <v/>
      </c>
      <c r="N50" s="7">
        <f>N48-SUM(Costs!$C$15:N$15)</f>
        <v/>
      </c>
      <c r="O50" s="7">
        <f>O48-SUM(Costs!$C$15:O$15)</f>
        <v/>
      </c>
      <c r="P50" s="7">
        <f>P48-SUM(Costs!$C$15:P$15)</f>
        <v/>
      </c>
      <c r="Q50" s="7">
        <f>Q48-SUM(Costs!$C$15:Q$15)</f>
        <v/>
      </c>
      <c r="R50" s="7">
        <f>R48-SUM(Costs!$C$15:R$15)</f>
        <v/>
      </c>
      <c r="S50" s="7">
        <f>S48-SUM(Costs!$C$15:S$15)</f>
        <v/>
      </c>
      <c r="T50" s="7">
        <f>T48-SUM(Costs!$C$15:T$15)</f>
        <v/>
      </c>
      <c r="U50" s="7">
        <f>U48-SUM(Costs!$C$15:U$15)</f>
        <v/>
      </c>
      <c r="V50" s="7">
        <f>V48-SUM(Costs!$C$15:V$15)</f>
        <v/>
      </c>
      <c r="W50" s="7">
        <f>W48-SUM(Costs!$C$15:W$15)</f>
        <v/>
      </c>
      <c r="X50" s="7">
        <f>X48-SUM(Costs!$C$15:X$15)</f>
        <v/>
      </c>
      <c r="Y50" s="7">
        <f>Y48-SUM(Costs!$C$15:Y$15)</f>
        <v/>
      </c>
      <c r="Z50" s="7">
        <f>Z48-SUM(Costs!$C$15:Z$15)</f>
        <v/>
      </c>
    </row>
    <row r="51">
      <c r="A51" t="inlineStr">
        <is>
          <t>נטו מצטבר כולל ערך זמן פיתוח - עברית+אנגלית</t>
        </is>
      </c>
      <c r="B51" s="6" t="n"/>
      <c r="C51" s="7">
        <f>C49-SUM(Costs!$C$15:C$15)</f>
        <v/>
      </c>
      <c r="D51" s="7">
        <f>D49-SUM(Costs!$C$15:D$15)</f>
        <v/>
      </c>
      <c r="E51" s="7">
        <f>E49-SUM(Costs!$C$15:E$15)</f>
        <v/>
      </c>
      <c r="F51" s="7">
        <f>F49-SUM(Costs!$C$15:F$15)</f>
        <v/>
      </c>
      <c r="G51" s="7">
        <f>G49-SUM(Costs!$C$15:G$15)</f>
        <v/>
      </c>
      <c r="H51" s="7">
        <f>H49-SUM(Costs!$C$15:H$15)</f>
        <v/>
      </c>
      <c r="I51" s="7">
        <f>I49-SUM(Costs!$C$15:I$15)</f>
        <v/>
      </c>
      <c r="J51" s="7">
        <f>J49-SUM(Costs!$C$15:J$15)</f>
        <v/>
      </c>
      <c r="K51" s="7">
        <f>K49-SUM(Costs!$C$15:K$15)</f>
        <v/>
      </c>
      <c r="L51" s="7">
        <f>L49-SUM(Costs!$C$15:L$15)</f>
        <v/>
      </c>
      <c r="M51" s="7">
        <f>M49-SUM(Costs!$C$15:M$15)</f>
        <v/>
      </c>
      <c r="N51" s="7">
        <f>N49-SUM(Costs!$C$15:N$15)</f>
        <v/>
      </c>
      <c r="O51" s="7">
        <f>O49-SUM(Costs!$C$15:O$15)</f>
        <v/>
      </c>
      <c r="P51" s="7">
        <f>P49-SUM(Costs!$C$15:P$15)</f>
        <v/>
      </c>
      <c r="Q51" s="7">
        <f>Q49-SUM(Costs!$C$15:Q$15)</f>
        <v/>
      </c>
      <c r="R51" s="7">
        <f>R49-SUM(Costs!$C$15:R$15)</f>
        <v/>
      </c>
      <c r="S51" s="7">
        <f>S49-SUM(Costs!$C$15:S$15)</f>
        <v/>
      </c>
      <c r="T51" s="7">
        <f>T49-SUM(Costs!$C$15:T$15)</f>
        <v/>
      </c>
      <c r="U51" s="7">
        <f>U49-SUM(Costs!$C$15:U$15)</f>
        <v/>
      </c>
      <c r="V51" s="7">
        <f>V49-SUM(Costs!$C$15:V$15)</f>
        <v/>
      </c>
      <c r="W51" s="7">
        <f>W49-SUM(Costs!$C$15:W$15)</f>
        <v/>
      </c>
      <c r="X51" s="7">
        <f>X49-SUM(Costs!$C$15:X$15)</f>
        <v/>
      </c>
      <c r="Y51" s="7">
        <f>Y49-SUM(Costs!$C$15:Y$15)</f>
        <v/>
      </c>
      <c r="Z51" s="7">
        <f>Z49-SUM(Costs!$C$15:Z$15)</f>
        <v/>
      </c>
    </row>
    <row r="52">
      <c r="A52" t="inlineStr">
        <is>
          <t>עזר: חודש כשהמצטבר &gt;=0 (cum_he)</t>
        </is>
      </c>
      <c r="B52" s="6">
        <f>IF(COUNT(C52:Z52)=0,"לא בתוך 24 חודשים",MIN(C52:Z52))</f>
        <v/>
      </c>
      <c r="C52" s="7">
        <f>IF(C48&gt;=0,C$3,"")</f>
        <v/>
      </c>
      <c r="D52" s="7">
        <f>IF(D48&gt;=0,D$3,"")</f>
        <v/>
      </c>
      <c r="E52" s="7">
        <f>IF(E48&gt;=0,E$3,"")</f>
        <v/>
      </c>
      <c r="F52" s="7">
        <f>IF(F48&gt;=0,F$3,"")</f>
        <v/>
      </c>
      <c r="G52" s="7">
        <f>IF(G48&gt;=0,G$3,"")</f>
        <v/>
      </c>
      <c r="H52" s="7">
        <f>IF(H48&gt;=0,H$3,"")</f>
        <v/>
      </c>
      <c r="I52" s="7">
        <f>IF(I48&gt;=0,I$3,"")</f>
        <v/>
      </c>
      <c r="J52" s="7">
        <f>IF(J48&gt;=0,J$3,"")</f>
        <v/>
      </c>
      <c r="K52" s="7">
        <f>IF(K48&gt;=0,K$3,"")</f>
        <v/>
      </c>
      <c r="L52" s="7">
        <f>IF(L48&gt;=0,L$3,"")</f>
        <v/>
      </c>
      <c r="M52" s="7">
        <f>IF(M48&gt;=0,M$3,"")</f>
        <v/>
      </c>
      <c r="N52" s="7">
        <f>IF(N48&gt;=0,N$3,"")</f>
        <v/>
      </c>
      <c r="O52" s="7">
        <f>IF(O48&gt;=0,O$3,"")</f>
        <v/>
      </c>
      <c r="P52" s="7">
        <f>IF(P48&gt;=0,P$3,"")</f>
        <v/>
      </c>
      <c r="Q52" s="7">
        <f>IF(Q48&gt;=0,Q$3,"")</f>
        <v/>
      </c>
      <c r="R52" s="7">
        <f>IF(R48&gt;=0,R$3,"")</f>
        <v/>
      </c>
      <c r="S52" s="7">
        <f>IF(S48&gt;=0,S$3,"")</f>
        <v/>
      </c>
      <c r="T52" s="7">
        <f>IF(T48&gt;=0,T$3,"")</f>
        <v/>
      </c>
      <c r="U52" s="7">
        <f>IF(U48&gt;=0,U$3,"")</f>
        <v/>
      </c>
      <c r="V52" s="7">
        <f>IF(V48&gt;=0,V$3,"")</f>
        <v/>
      </c>
      <c r="W52" s="7">
        <f>IF(W48&gt;=0,W$3,"")</f>
        <v/>
      </c>
      <c r="X52" s="7">
        <f>IF(X48&gt;=0,X$3,"")</f>
        <v/>
      </c>
      <c r="Y52" s="7">
        <f>IF(Y48&gt;=0,Y$3,"")</f>
        <v/>
      </c>
      <c r="Z52" s="7">
        <f>IF(Z48&gt;=0,Z$3,"")</f>
        <v/>
      </c>
    </row>
    <row r="53">
      <c r="A53" t="inlineStr">
        <is>
          <t>עזר: חודש כשהמצטבר &gt;=0 (cum_all)</t>
        </is>
      </c>
      <c r="B53" s="6">
        <f>IF(COUNT(C53:Z53)=0,"לא בתוך 24 חודשים",MIN(C53:Z53))</f>
        <v/>
      </c>
      <c r="C53" s="7">
        <f>IF(C49&gt;=0,C$3,"")</f>
        <v/>
      </c>
      <c r="D53" s="7">
        <f>IF(D49&gt;=0,D$3,"")</f>
        <v/>
      </c>
      <c r="E53" s="7">
        <f>IF(E49&gt;=0,E$3,"")</f>
        <v/>
      </c>
      <c r="F53" s="7">
        <f>IF(F49&gt;=0,F$3,"")</f>
        <v/>
      </c>
      <c r="G53" s="7">
        <f>IF(G49&gt;=0,G$3,"")</f>
        <v/>
      </c>
      <c r="H53" s="7">
        <f>IF(H49&gt;=0,H$3,"")</f>
        <v/>
      </c>
      <c r="I53" s="7">
        <f>IF(I49&gt;=0,I$3,"")</f>
        <v/>
      </c>
      <c r="J53" s="7">
        <f>IF(J49&gt;=0,J$3,"")</f>
        <v/>
      </c>
      <c r="K53" s="7">
        <f>IF(K49&gt;=0,K$3,"")</f>
        <v/>
      </c>
      <c r="L53" s="7">
        <f>IF(L49&gt;=0,L$3,"")</f>
        <v/>
      </c>
      <c r="M53" s="7">
        <f>IF(M49&gt;=0,M$3,"")</f>
        <v/>
      </c>
      <c r="N53" s="7">
        <f>IF(N49&gt;=0,N$3,"")</f>
        <v/>
      </c>
      <c r="O53" s="7">
        <f>IF(O49&gt;=0,O$3,"")</f>
        <v/>
      </c>
      <c r="P53" s="7">
        <f>IF(P49&gt;=0,P$3,"")</f>
        <v/>
      </c>
      <c r="Q53" s="7">
        <f>IF(Q49&gt;=0,Q$3,"")</f>
        <v/>
      </c>
      <c r="R53" s="7">
        <f>IF(R49&gt;=0,R$3,"")</f>
        <v/>
      </c>
      <c r="S53" s="7">
        <f>IF(S49&gt;=0,S$3,"")</f>
        <v/>
      </c>
      <c r="T53" s="7">
        <f>IF(T49&gt;=0,T$3,"")</f>
        <v/>
      </c>
      <c r="U53" s="7">
        <f>IF(U49&gt;=0,U$3,"")</f>
        <v/>
      </c>
      <c r="V53" s="7">
        <f>IF(V49&gt;=0,V$3,"")</f>
        <v/>
      </c>
      <c r="W53" s="7">
        <f>IF(W49&gt;=0,W$3,"")</f>
        <v/>
      </c>
      <c r="X53" s="7">
        <f>IF(X49&gt;=0,X$3,"")</f>
        <v/>
      </c>
      <c r="Y53" s="7">
        <f>IF(Y49&gt;=0,Y$3,"")</f>
        <v/>
      </c>
      <c r="Z53" s="7">
        <f>IF(Z49&gt;=0,Z$3,"")</f>
        <v/>
      </c>
    </row>
    <row r="54">
      <c r="A54" t="inlineStr">
        <is>
          <t>עזר: חודש כשהמצטבר &gt;=0 (cumd_he)</t>
        </is>
      </c>
      <c r="B54" s="6">
        <f>IF(COUNT(C54:Z54)=0,"לא בתוך 24 חודשים",MIN(C54:Z54))</f>
        <v/>
      </c>
      <c r="C54" s="7">
        <f>IF(C50&gt;=0,C$3,"")</f>
        <v/>
      </c>
      <c r="D54" s="7">
        <f>IF(D50&gt;=0,D$3,"")</f>
        <v/>
      </c>
      <c r="E54" s="7">
        <f>IF(E50&gt;=0,E$3,"")</f>
        <v/>
      </c>
      <c r="F54" s="7">
        <f>IF(F50&gt;=0,F$3,"")</f>
        <v/>
      </c>
      <c r="G54" s="7">
        <f>IF(G50&gt;=0,G$3,"")</f>
        <v/>
      </c>
      <c r="H54" s="7">
        <f>IF(H50&gt;=0,H$3,"")</f>
        <v/>
      </c>
      <c r="I54" s="7">
        <f>IF(I50&gt;=0,I$3,"")</f>
        <v/>
      </c>
      <c r="J54" s="7">
        <f>IF(J50&gt;=0,J$3,"")</f>
        <v/>
      </c>
      <c r="K54" s="7">
        <f>IF(K50&gt;=0,K$3,"")</f>
        <v/>
      </c>
      <c r="L54" s="7">
        <f>IF(L50&gt;=0,L$3,"")</f>
        <v/>
      </c>
      <c r="M54" s="7">
        <f>IF(M50&gt;=0,M$3,"")</f>
        <v/>
      </c>
      <c r="N54" s="7">
        <f>IF(N50&gt;=0,N$3,"")</f>
        <v/>
      </c>
      <c r="O54" s="7">
        <f>IF(O50&gt;=0,O$3,"")</f>
        <v/>
      </c>
      <c r="P54" s="7">
        <f>IF(P50&gt;=0,P$3,"")</f>
        <v/>
      </c>
      <c r="Q54" s="7">
        <f>IF(Q50&gt;=0,Q$3,"")</f>
        <v/>
      </c>
      <c r="R54" s="7">
        <f>IF(R50&gt;=0,R$3,"")</f>
        <v/>
      </c>
      <c r="S54" s="7">
        <f>IF(S50&gt;=0,S$3,"")</f>
        <v/>
      </c>
      <c r="T54" s="7">
        <f>IF(T50&gt;=0,T$3,"")</f>
        <v/>
      </c>
      <c r="U54" s="7">
        <f>IF(U50&gt;=0,U$3,"")</f>
        <v/>
      </c>
      <c r="V54" s="7">
        <f>IF(V50&gt;=0,V$3,"")</f>
        <v/>
      </c>
      <c r="W54" s="7">
        <f>IF(W50&gt;=0,W$3,"")</f>
        <v/>
      </c>
      <c r="X54" s="7">
        <f>IF(X50&gt;=0,X$3,"")</f>
        <v/>
      </c>
      <c r="Y54" s="7">
        <f>IF(Y50&gt;=0,Y$3,"")</f>
        <v/>
      </c>
      <c r="Z54" s="7">
        <f>IF(Z50&gt;=0,Z$3,"")</f>
        <v/>
      </c>
    </row>
    <row r="55">
      <c r="A55" t="inlineStr">
        <is>
          <t>עזר: חודש כשהמצטבר &gt;=0 (cumd_all)</t>
        </is>
      </c>
      <c r="B55" s="6">
        <f>IF(COUNT(C55:Z55)=0,"לא בתוך 24 חודשים",MIN(C55:Z55))</f>
        <v/>
      </c>
      <c r="C55" s="7">
        <f>IF(C51&gt;=0,C$3,"")</f>
        <v/>
      </c>
      <c r="D55" s="7">
        <f>IF(D51&gt;=0,D$3,"")</f>
        <v/>
      </c>
      <c r="E55" s="7">
        <f>IF(E51&gt;=0,E$3,"")</f>
        <v/>
      </c>
      <c r="F55" s="7">
        <f>IF(F51&gt;=0,F$3,"")</f>
        <v/>
      </c>
      <c r="G55" s="7">
        <f>IF(G51&gt;=0,G$3,"")</f>
        <v/>
      </c>
      <c r="H55" s="7">
        <f>IF(H51&gt;=0,H$3,"")</f>
        <v/>
      </c>
      <c r="I55" s="7">
        <f>IF(I51&gt;=0,I$3,"")</f>
        <v/>
      </c>
      <c r="J55" s="7">
        <f>IF(J51&gt;=0,J$3,"")</f>
        <v/>
      </c>
      <c r="K55" s="7">
        <f>IF(K51&gt;=0,K$3,"")</f>
        <v/>
      </c>
      <c r="L55" s="7">
        <f>IF(L51&gt;=0,L$3,"")</f>
        <v/>
      </c>
      <c r="M55" s="7">
        <f>IF(M51&gt;=0,M$3,"")</f>
        <v/>
      </c>
      <c r="N55" s="7">
        <f>IF(N51&gt;=0,N$3,"")</f>
        <v/>
      </c>
      <c r="O55" s="7">
        <f>IF(O51&gt;=0,O$3,"")</f>
        <v/>
      </c>
      <c r="P55" s="7">
        <f>IF(P51&gt;=0,P$3,"")</f>
        <v/>
      </c>
      <c r="Q55" s="7">
        <f>IF(Q51&gt;=0,Q$3,"")</f>
        <v/>
      </c>
      <c r="R55" s="7">
        <f>IF(R51&gt;=0,R$3,"")</f>
        <v/>
      </c>
      <c r="S55" s="7">
        <f>IF(S51&gt;=0,S$3,"")</f>
        <v/>
      </c>
      <c r="T55" s="7">
        <f>IF(T51&gt;=0,T$3,"")</f>
        <v/>
      </c>
      <c r="U55" s="7">
        <f>IF(U51&gt;=0,U$3,"")</f>
        <v/>
      </c>
      <c r="V55" s="7">
        <f>IF(V51&gt;=0,V$3,"")</f>
        <v/>
      </c>
      <c r="W55" s="7">
        <f>IF(W51&gt;=0,W$3,"")</f>
        <v/>
      </c>
      <c r="X55" s="7">
        <f>IF(X51&gt;=0,X$3,"")</f>
        <v/>
      </c>
      <c r="Y55" s="7">
        <f>IF(Y51&gt;=0,Y$3,"")</f>
        <v/>
      </c>
      <c r="Z55" s="7">
        <f>IF(Z51&gt;=0,Z$3,"")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5"/>
  <sheetViews>
    <sheetView rightToLeft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</cols>
  <sheetData>
    <row r="1">
      <c r="A1" s="1" t="inlineStr">
        <is>
          <t>חישוב חודשי - תרחיש Calc_Opt</t>
        </is>
      </c>
    </row>
    <row r="3">
      <c r="A3" s="1" t="inlineStr">
        <is>
          <t>חודש</t>
        </is>
      </c>
      <c r="B3" t="inlineStr">
        <is>
          <t>סה"כ</t>
        </is>
      </c>
      <c r="C3" s="3" t="n">
        <v>1</v>
      </c>
      <c r="D3" s="3" t="n">
        <v>2</v>
      </c>
      <c r="E3" s="3" t="n">
        <v>3</v>
      </c>
      <c r="F3" s="3" t="n">
        <v>4</v>
      </c>
      <c r="G3" s="3" t="n">
        <v>5</v>
      </c>
      <c r="H3" s="3" t="n">
        <v>6</v>
      </c>
      <c r="I3" s="3" t="n">
        <v>7</v>
      </c>
      <c r="J3" s="3" t="n">
        <v>8</v>
      </c>
      <c r="K3" s="3" t="n">
        <v>9</v>
      </c>
      <c r="L3" s="3" t="n">
        <v>10</v>
      </c>
      <c r="M3" s="3" t="n">
        <v>11</v>
      </c>
      <c r="N3" s="3" t="n">
        <v>12</v>
      </c>
      <c r="O3" s="3" t="n">
        <v>13</v>
      </c>
      <c r="P3" s="3" t="n">
        <v>14</v>
      </c>
      <c r="Q3" s="3" t="n">
        <v>15</v>
      </c>
      <c r="R3" s="3" t="n">
        <v>16</v>
      </c>
      <c r="S3" s="3" t="n">
        <v>17</v>
      </c>
      <c r="T3" s="3" t="n">
        <v>18</v>
      </c>
      <c r="U3" s="3" t="n">
        <v>19</v>
      </c>
      <c r="V3" s="3" t="n">
        <v>20</v>
      </c>
      <c r="W3" s="3" t="n">
        <v>21</v>
      </c>
      <c r="X3" s="3" t="n">
        <v>22</v>
      </c>
      <c r="Y3" s="3" t="n">
        <v>23</v>
      </c>
      <c r="Z3" s="3" t="n">
        <v>24</v>
      </c>
    </row>
    <row r="4">
      <c r="A4" s="1" t="inlineStr">
        <is>
          <t>-- שוק עברית --</t>
        </is>
      </c>
    </row>
    <row r="5">
      <c r="A5" t="inlineStr">
        <is>
          <t>HE: התקנות אורגניות</t>
        </is>
      </c>
      <c r="B5" s="6">
        <f>SUM(C5:Z5)</f>
        <v/>
      </c>
      <c r="C5" s="7">
        <f>Assumptions!$E$28*(1+Assumptions!$E$29)^(C$3-1)</f>
        <v/>
      </c>
      <c r="D5" s="7">
        <f>Assumptions!$E$28*(1+Assumptions!$E$29)^(D$3-1)</f>
        <v/>
      </c>
      <c r="E5" s="7">
        <f>Assumptions!$E$28*(1+Assumptions!$E$29)^(E$3-1)</f>
        <v/>
      </c>
      <c r="F5" s="7">
        <f>Assumptions!$E$28*(1+Assumptions!$E$29)^(F$3-1)</f>
        <v/>
      </c>
      <c r="G5" s="7">
        <f>Assumptions!$E$28*(1+Assumptions!$E$29)^(G$3-1)</f>
        <v/>
      </c>
      <c r="H5" s="7">
        <f>Assumptions!$E$28*(1+Assumptions!$E$29)^(H$3-1)</f>
        <v/>
      </c>
      <c r="I5" s="7">
        <f>Assumptions!$E$28*(1+Assumptions!$E$29)^(I$3-1)</f>
        <v/>
      </c>
      <c r="J5" s="7">
        <f>Assumptions!$E$28*(1+Assumptions!$E$29)^(J$3-1)</f>
        <v/>
      </c>
      <c r="K5" s="7">
        <f>Assumptions!$E$28*(1+Assumptions!$E$29)^(K$3-1)</f>
        <v/>
      </c>
      <c r="L5" s="7">
        <f>Assumptions!$E$28*(1+Assumptions!$E$29)^(L$3-1)</f>
        <v/>
      </c>
      <c r="M5" s="7">
        <f>Assumptions!$E$28*(1+Assumptions!$E$29)^(M$3-1)</f>
        <v/>
      </c>
      <c r="N5" s="7">
        <f>Assumptions!$E$28*(1+Assumptions!$E$29)^(N$3-1)</f>
        <v/>
      </c>
      <c r="O5" s="7">
        <f>Assumptions!$E$28*(1+Assumptions!$E$29)^(O$3-1)</f>
        <v/>
      </c>
      <c r="P5" s="7">
        <f>Assumptions!$E$28*(1+Assumptions!$E$29)^(P$3-1)</f>
        <v/>
      </c>
      <c r="Q5" s="7">
        <f>Assumptions!$E$28*(1+Assumptions!$E$29)^(Q$3-1)</f>
        <v/>
      </c>
      <c r="R5" s="7">
        <f>Assumptions!$E$28*(1+Assumptions!$E$29)^(R$3-1)</f>
        <v/>
      </c>
      <c r="S5" s="7">
        <f>Assumptions!$E$28*(1+Assumptions!$E$29)^(S$3-1)</f>
        <v/>
      </c>
      <c r="T5" s="7">
        <f>Assumptions!$E$28*(1+Assumptions!$E$29)^(T$3-1)</f>
        <v/>
      </c>
      <c r="U5" s="7">
        <f>Assumptions!$E$28*(1+Assumptions!$E$29)^(U$3-1)</f>
        <v/>
      </c>
      <c r="V5" s="7">
        <f>Assumptions!$E$28*(1+Assumptions!$E$29)^(V$3-1)</f>
        <v/>
      </c>
      <c r="W5" s="7">
        <f>Assumptions!$E$28*(1+Assumptions!$E$29)^(W$3-1)</f>
        <v/>
      </c>
      <c r="X5" s="7">
        <f>Assumptions!$E$28*(1+Assumptions!$E$29)^(X$3-1)</f>
        <v/>
      </c>
      <c r="Y5" s="7">
        <f>Assumptions!$E$28*(1+Assumptions!$E$29)^(Y$3-1)</f>
        <v/>
      </c>
      <c r="Z5" s="7">
        <f>Assumptions!$E$28*(1+Assumptions!$E$29)^(Z$3-1)</f>
        <v/>
      </c>
    </row>
    <row r="6">
      <c r="A6" t="inlineStr">
        <is>
          <t>HE: הוצאת פרסום בתשלום (₪)</t>
        </is>
      </c>
      <c r="B6" s="6">
        <f>SUM(C6:Z6)</f>
        <v/>
      </c>
      <c r="C6" s="7">
        <f>IF(AND(C$3&gt;=Assumptions!$E$34,C$3&lt;=Assumptions!$E$35),Assumptions!$E$33,0)</f>
        <v/>
      </c>
      <c r="D6" s="7">
        <f>IF(AND(D$3&gt;=Assumptions!$E$34,D$3&lt;=Assumptions!$E$35),Assumptions!$E$33,0)</f>
        <v/>
      </c>
      <c r="E6" s="7">
        <f>IF(AND(E$3&gt;=Assumptions!$E$34,E$3&lt;=Assumptions!$E$35),Assumptions!$E$33,0)</f>
        <v/>
      </c>
      <c r="F6" s="7">
        <f>IF(AND(F$3&gt;=Assumptions!$E$34,F$3&lt;=Assumptions!$E$35),Assumptions!$E$33,0)</f>
        <v/>
      </c>
      <c r="G6" s="7">
        <f>IF(AND(G$3&gt;=Assumptions!$E$34,G$3&lt;=Assumptions!$E$35),Assumptions!$E$33,0)</f>
        <v/>
      </c>
      <c r="H6" s="7">
        <f>IF(AND(H$3&gt;=Assumptions!$E$34,H$3&lt;=Assumptions!$E$35),Assumptions!$E$33,0)</f>
        <v/>
      </c>
      <c r="I6" s="7">
        <f>IF(AND(I$3&gt;=Assumptions!$E$34,I$3&lt;=Assumptions!$E$35),Assumptions!$E$33,0)</f>
        <v/>
      </c>
      <c r="J6" s="7">
        <f>IF(AND(J$3&gt;=Assumptions!$E$34,J$3&lt;=Assumptions!$E$35),Assumptions!$E$33,0)</f>
        <v/>
      </c>
      <c r="K6" s="7">
        <f>IF(AND(K$3&gt;=Assumptions!$E$34,K$3&lt;=Assumptions!$E$35),Assumptions!$E$33,0)</f>
        <v/>
      </c>
      <c r="L6" s="7">
        <f>IF(AND(L$3&gt;=Assumptions!$E$34,L$3&lt;=Assumptions!$E$35),Assumptions!$E$33,0)</f>
        <v/>
      </c>
      <c r="M6" s="7">
        <f>IF(AND(M$3&gt;=Assumptions!$E$34,M$3&lt;=Assumptions!$E$35),Assumptions!$E$33,0)</f>
        <v/>
      </c>
      <c r="N6" s="7">
        <f>IF(AND(N$3&gt;=Assumptions!$E$34,N$3&lt;=Assumptions!$E$35),Assumptions!$E$33,0)</f>
        <v/>
      </c>
      <c r="O6" s="7">
        <f>IF(AND(O$3&gt;=Assumptions!$E$34,O$3&lt;=Assumptions!$E$35),Assumptions!$E$33,0)</f>
        <v/>
      </c>
      <c r="P6" s="7">
        <f>IF(AND(P$3&gt;=Assumptions!$E$34,P$3&lt;=Assumptions!$E$35),Assumptions!$E$33,0)</f>
        <v/>
      </c>
      <c r="Q6" s="7">
        <f>IF(AND(Q$3&gt;=Assumptions!$E$34,Q$3&lt;=Assumptions!$E$35),Assumptions!$E$33,0)</f>
        <v/>
      </c>
      <c r="R6" s="7">
        <f>IF(AND(R$3&gt;=Assumptions!$E$34,R$3&lt;=Assumptions!$E$35),Assumptions!$E$33,0)</f>
        <v/>
      </c>
      <c r="S6" s="7">
        <f>IF(AND(S$3&gt;=Assumptions!$E$34,S$3&lt;=Assumptions!$E$35),Assumptions!$E$33,0)</f>
        <v/>
      </c>
      <c r="T6" s="7">
        <f>IF(AND(T$3&gt;=Assumptions!$E$34,T$3&lt;=Assumptions!$E$35),Assumptions!$E$33,0)</f>
        <v/>
      </c>
      <c r="U6" s="7">
        <f>IF(AND(U$3&gt;=Assumptions!$E$34,U$3&lt;=Assumptions!$E$35),Assumptions!$E$33,0)</f>
        <v/>
      </c>
      <c r="V6" s="7">
        <f>IF(AND(V$3&gt;=Assumptions!$E$34,V$3&lt;=Assumptions!$E$35),Assumptions!$E$33,0)</f>
        <v/>
      </c>
      <c r="W6" s="7">
        <f>IF(AND(W$3&gt;=Assumptions!$E$34,W$3&lt;=Assumptions!$E$35),Assumptions!$E$33,0)</f>
        <v/>
      </c>
      <c r="X6" s="7">
        <f>IF(AND(X$3&gt;=Assumptions!$E$34,X$3&lt;=Assumptions!$E$35),Assumptions!$E$33,0)</f>
        <v/>
      </c>
      <c r="Y6" s="7">
        <f>IF(AND(Y$3&gt;=Assumptions!$E$34,Y$3&lt;=Assumptions!$E$35),Assumptions!$E$33,0)</f>
        <v/>
      </c>
      <c r="Z6" s="7">
        <f>IF(AND(Z$3&gt;=Assumptions!$E$34,Z$3&lt;=Assumptions!$E$35),Assumptions!$E$33,0)</f>
        <v/>
      </c>
    </row>
    <row r="7">
      <c r="A7" t="inlineStr">
        <is>
          <t>HE: התקנות מפרסום בתשלום</t>
        </is>
      </c>
      <c r="B7" s="6">
        <f>SUM(C7:Z7)</f>
        <v/>
      </c>
      <c r="C7" s="7">
        <f>C6/Assumptions!$E$32</f>
        <v/>
      </c>
      <c r="D7" s="7">
        <f>D6/Assumptions!$E$32</f>
        <v/>
      </c>
      <c r="E7" s="7">
        <f>E6/Assumptions!$E$32</f>
        <v/>
      </c>
      <c r="F7" s="7">
        <f>F6/Assumptions!$E$32</f>
        <v/>
      </c>
      <c r="G7" s="7">
        <f>G6/Assumptions!$E$32</f>
        <v/>
      </c>
      <c r="H7" s="7">
        <f>H6/Assumptions!$E$32</f>
        <v/>
      </c>
      <c r="I7" s="7">
        <f>I6/Assumptions!$E$32</f>
        <v/>
      </c>
      <c r="J7" s="7">
        <f>J6/Assumptions!$E$32</f>
        <v/>
      </c>
      <c r="K7" s="7">
        <f>K6/Assumptions!$E$32</f>
        <v/>
      </c>
      <c r="L7" s="7">
        <f>L6/Assumptions!$E$32</f>
        <v/>
      </c>
      <c r="M7" s="7">
        <f>M6/Assumptions!$E$32</f>
        <v/>
      </c>
      <c r="N7" s="7">
        <f>N6/Assumptions!$E$32</f>
        <v/>
      </c>
      <c r="O7" s="7">
        <f>O6/Assumptions!$E$32</f>
        <v/>
      </c>
      <c r="P7" s="7">
        <f>P6/Assumptions!$E$32</f>
        <v/>
      </c>
      <c r="Q7" s="7">
        <f>Q6/Assumptions!$E$32</f>
        <v/>
      </c>
      <c r="R7" s="7">
        <f>R6/Assumptions!$E$32</f>
        <v/>
      </c>
      <c r="S7" s="7">
        <f>S6/Assumptions!$E$32</f>
        <v/>
      </c>
      <c r="T7" s="7">
        <f>T6/Assumptions!$E$32</f>
        <v/>
      </c>
      <c r="U7" s="7">
        <f>U6/Assumptions!$E$32</f>
        <v/>
      </c>
      <c r="V7" s="7">
        <f>V6/Assumptions!$E$32</f>
        <v/>
      </c>
      <c r="W7" s="7">
        <f>W6/Assumptions!$E$32</f>
        <v/>
      </c>
      <c r="X7" s="7">
        <f>X6/Assumptions!$E$32</f>
        <v/>
      </c>
      <c r="Y7" s="7">
        <f>Y6/Assumptions!$E$32</f>
        <v/>
      </c>
      <c r="Z7" s="7">
        <f>Z6/Assumptions!$E$32</f>
        <v/>
      </c>
    </row>
    <row r="8">
      <c r="A8" t="inlineStr">
        <is>
          <t>HE: סה"כ התקנות</t>
        </is>
      </c>
      <c r="B8" s="6">
        <f>SUM(C8:Z8)</f>
        <v/>
      </c>
      <c r="C8" s="7">
        <f>C5+C7</f>
        <v/>
      </c>
      <c r="D8" s="7">
        <f>D5+D7</f>
        <v/>
      </c>
      <c r="E8" s="7">
        <f>E5+E7</f>
        <v/>
      </c>
      <c r="F8" s="7">
        <f>F5+F7</f>
        <v/>
      </c>
      <c r="G8" s="7">
        <f>G5+G7</f>
        <v/>
      </c>
      <c r="H8" s="7">
        <f>H5+H7</f>
        <v/>
      </c>
      <c r="I8" s="7">
        <f>I5+I7</f>
        <v/>
      </c>
      <c r="J8" s="7">
        <f>J5+J7</f>
        <v/>
      </c>
      <c r="K8" s="7">
        <f>K5+K7</f>
        <v/>
      </c>
      <c r="L8" s="7">
        <f>L5+L7</f>
        <v/>
      </c>
      <c r="M8" s="7">
        <f>M5+M7</f>
        <v/>
      </c>
      <c r="N8" s="7">
        <f>N5+N7</f>
        <v/>
      </c>
      <c r="O8" s="7">
        <f>O5+O7</f>
        <v/>
      </c>
      <c r="P8" s="7">
        <f>P5+P7</f>
        <v/>
      </c>
      <c r="Q8" s="7">
        <f>Q5+Q7</f>
        <v/>
      </c>
      <c r="R8" s="7">
        <f>R5+R7</f>
        <v/>
      </c>
      <c r="S8" s="7">
        <f>S5+S7</f>
        <v/>
      </c>
      <c r="T8" s="7">
        <f>T5+T7</f>
        <v/>
      </c>
      <c r="U8" s="7">
        <f>U5+U7</f>
        <v/>
      </c>
      <c r="V8" s="7">
        <f>V5+V7</f>
        <v/>
      </c>
      <c r="W8" s="7">
        <f>W5+W7</f>
        <v/>
      </c>
      <c r="X8" s="7">
        <f>X5+X7</f>
        <v/>
      </c>
      <c r="Y8" s="7">
        <f>Y5+Y7</f>
        <v/>
      </c>
      <c r="Z8" s="7">
        <f>Z5+Z7</f>
        <v/>
      </c>
    </row>
    <row r="9">
      <c r="A9" t="inlineStr">
        <is>
          <t>HE: שחקנים ותיקים (מחודש 2 ואילך, DAU)</t>
        </is>
      </c>
      <c r="B9" s="6" t="n"/>
      <c r="C9" s="7">
        <f>0</f>
        <v/>
      </c>
      <c r="D9" s="7">
        <f>Assumptions!$E$40*C9+C8*Assumptions!$E$39</f>
        <v/>
      </c>
      <c r="E9" s="7">
        <f>Assumptions!$E$40*D9+D8*Assumptions!$E$39</f>
        <v/>
      </c>
      <c r="F9" s="7">
        <f>Assumptions!$E$40*E9+E8*Assumptions!$E$39</f>
        <v/>
      </c>
      <c r="G9" s="7">
        <f>Assumptions!$E$40*F9+F8*Assumptions!$E$39</f>
        <v/>
      </c>
      <c r="H9" s="7">
        <f>Assumptions!$E$40*G9+G8*Assumptions!$E$39</f>
        <v/>
      </c>
      <c r="I9" s="7">
        <f>Assumptions!$E$40*H9+H8*Assumptions!$E$39</f>
        <v/>
      </c>
      <c r="J9" s="7">
        <f>Assumptions!$E$40*I9+I8*Assumptions!$E$39</f>
        <v/>
      </c>
      <c r="K9" s="7">
        <f>Assumptions!$E$40*J9+J8*Assumptions!$E$39</f>
        <v/>
      </c>
      <c r="L9" s="7">
        <f>Assumptions!$E$40*K9+K8*Assumptions!$E$39</f>
        <v/>
      </c>
      <c r="M9" s="7">
        <f>Assumptions!$E$40*L9+L8*Assumptions!$E$39</f>
        <v/>
      </c>
      <c r="N9" s="7">
        <f>Assumptions!$E$40*M9+M8*Assumptions!$E$39</f>
        <v/>
      </c>
      <c r="O9" s="7">
        <f>Assumptions!$E$40*N9+N8*Assumptions!$E$39</f>
        <v/>
      </c>
      <c r="P9" s="7">
        <f>Assumptions!$E$40*O9+O8*Assumptions!$E$39</f>
        <v/>
      </c>
      <c r="Q9" s="7">
        <f>Assumptions!$E$40*P9+P8*Assumptions!$E$39</f>
        <v/>
      </c>
      <c r="R9" s="7">
        <f>Assumptions!$E$40*Q9+Q8*Assumptions!$E$39</f>
        <v/>
      </c>
      <c r="S9" s="7">
        <f>Assumptions!$E$40*R9+R8*Assumptions!$E$39</f>
        <v/>
      </c>
      <c r="T9" s="7">
        <f>Assumptions!$E$40*S9+S8*Assumptions!$E$39</f>
        <v/>
      </c>
      <c r="U9" s="7">
        <f>Assumptions!$E$40*T9+T8*Assumptions!$E$39</f>
        <v/>
      </c>
      <c r="V9" s="7">
        <f>Assumptions!$E$40*U9+U8*Assumptions!$E$39</f>
        <v/>
      </c>
      <c r="W9" s="7">
        <f>Assumptions!$E$40*V9+V8*Assumptions!$E$39</f>
        <v/>
      </c>
      <c r="X9" s="7">
        <f>Assumptions!$E$40*W9+W8*Assumptions!$E$39</f>
        <v/>
      </c>
      <c r="Y9" s="7">
        <f>Assumptions!$E$40*X9+X8*Assumptions!$E$39</f>
        <v/>
      </c>
      <c r="Z9" s="7">
        <f>Assumptions!$E$40*Y9+Y8*Assumptions!$E$39</f>
        <v/>
      </c>
    </row>
    <row r="10">
      <c r="A10" t="inlineStr">
        <is>
          <t>HE: DAU ממוצע</t>
        </is>
      </c>
      <c r="B10" s="6" t="n"/>
      <c r="C10" s="7">
        <f>C8*((Assumptions!$E$37+Assumptions!$E$38+Assumptions!$E$39)/3)+C9</f>
        <v/>
      </c>
      <c r="D10" s="7">
        <f>D8*((Assumptions!$E$37+Assumptions!$E$38+Assumptions!$E$39)/3)+D9</f>
        <v/>
      </c>
      <c r="E10" s="7">
        <f>E8*((Assumptions!$E$37+Assumptions!$E$38+Assumptions!$E$39)/3)+E9</f>
        <v/>
      </c>
      <c r="F10" s="7">
        <f>F8*((Assumptions!$E$37+Assumptions!$E$38+Assumptions!$E$39)/3)+F9</f>
        <v/>
      </c>
      <c r="G10" s="7">
        <f>G8*((Assumptions!$E$37+Assumptions!$E$38+Assumptions!$E$39)/3)+G9</f>
        <v/>
      </c>
      <c r="H10" s="7">
        <f>H8*((Assumptions!$E$37+Assumptions!$E$38+Assumptions!$E$39)/3)+H9</f>
        <v/>
      </c>
      <c r="I10" s="7">
        <f>I8*((Assumptions!$E$37+Assumptions!$E$38+Assumptions!$E$39)/3)+I9</f>
        <v/>
      </c>
      <c r="J10" s="7">
        <f>J8*((Assumptions!$E$37+Assumptions!$E$38+Assumptions!$E$39)/3)+J9</f>
        <v/>
      </c>
      <c r="K10" s="7">
        <f>K8*((Assumptions!$E$37+Assumptions!$E$38+Assumptions!$E$39)/3)+K9</f>
        <v/>
      </c>
      <c r="L10" s="7">
        <f>L8*((Assumptions!$E$37+Assumptions!$E$38+Assumptions!$E$39)/3)+L9</f>
        <v/>
      </c>
      <c r="M10" s="7">
        <f>M8*((Assumptions!$E$37+Assumptions!$E$38+Assumptions!$E$39)/3)+M9</f>
        <v/>
      </c>
      <c r="N10" s="7">
        <f>N8*((Assumptions!$E$37+Assumptions!$E$38+Assumptions!$E$39)/3)+N9</f>
        <v/>
      </c>
      <c r="O10" s="7">
        <f>O8*((Assumptions!$E$37+Assumptions!$E$38+Assumptions!$E$39)/3)+O9</f>
        <v/>
      </c>
      <c r="P10" s="7">
        <f>P8*((Assumptions!$E$37+Assumptions!$E$38+Assumptions!$E$39)/3)+P9</f>
        <v/>
      </c>
      <c r="Q10" s="7">
        <f>Q8*((Assumptions!$E$37+Assumptions!$E$38+Assumptions!$E$39)/3)+Q9</f>
        <v/>
      </c>
      <c r="R10" s="7">
        <f>R8*((Assumptions!$E$37+Assumptions!$E$38+Assumptions!$E$39)/3)+R9</f>
        <v/>
      </c>
      <c r="S10" s="7">
        <f>S8*((Assumptions!$E$37+Assumptions!$E$38+Assumptions!$E$39)/3)+S9</f>
        <v/>
      </c>
      <c r="T10" s="7">
        <f>T8*((Assumptions!$E$37+Assumptions!$E$38+Assumptions!$E$39)/3)+T9</f>
        <v/>
      </c>
      <c r="U10" s="7">
        <f>U8*((Assumptions!$E$37+Assumptions!$E$38+Assumptions!$E$39)/3)+U9</f>
        <v/>
      </c>
      <c r="V10" s="7">
        <f>V8*((Assumptions!$E$37+Assumptions!$E$38+Assumptions!$E$39)/3)+V9</f>
        <v/>
      </c>
      <c r="W10" s="7">
        <f>W8*((Assumptions!$E$37+Assumptions!$E$38+Assumptions!$E$39)/3)+W9</f>
        <v/>
      </c>
      <c r="X10" s="7">
        <f>X8*((Assumptions!$E$37+Assumptions!$E$38+Assumptions!$E$39)/3)+X9</f>
        <v/>
      </c>
      <c r="Y10" s="7">
        <f>Y8*((Assumptions!$E$37+Assumptions!$E$38+Assumptions!$E$39)/3)+Y9</f>
        <v/>
      </c>
      <c r="Z10" s="7">
        <f>Z8*((Assumptions!$E$37+Assumptions!$E$38+Assumptions!$E$39)/3)+Z9</f>
        <v/>
      </c>
    </row>
    <row r="11">
      <c r="A11" t="inlineStr">
        <is>
          <t>HE: משחקים בחודש</t>
        </is>
      </c>
      <c r="B11" s="6">
        <f>SUM(C11:Z11)</f>
        <v/>
      </c>
      <c r="C11" s="7">
        <f>C10*Assumptions!$E$41*30</f>
        <v/>
      </c>
      <c r="D11" s="7">
        <f>D10*Assumptions!$E$41*30</f>
        <v/>
      </c>
      <c r="E11" s="7">
        <f>E10*Assumptions!$E$41*30</f>
        <v/>
      </c>
      <c r="F11" s="7">
        <f>F10*Assumptions!$E$41*30</f>
        <v/>
      </c>
      <c r="G11" s="7">
        <f>G10*Assumptions!$E$41*30</f>
        <v/>
      </c>
      <c r="H11" s="7">
        <f>H10*Assumptions!$E$41*30</f>
        <v/>
      </c>
      <c r="I11" s="7">
        <f>I10*Assumptions!$E$41*30</f>
        <v/>
      </c>
      <c r="J11" s="7">
        <f>J10*Assumptions!$E$41*30</f>
        <v/>
      </c>
      <c r="K11" s="7">
        <f>K10*Assumptions!$E$41*30</f>
        <v/>
      </c>
      <c r="L11" s="7">
        <f>L10*Assumptions!$E$41*30</f>
        <v/>
      </c>
      <c r="M11" s="7">
        <f>M10*Assumptions!$E$41*30</f>
        <v/>
      </c>
      <c r="N11" s="7">
        <f>N10*Assumptions!$E$41*30</f>
        <v/>
      </c>
      <c r="O11" s="7">
        <f>O10*Assumptions!$E$41*30</f>
        <v/>
      </c>
      <c r="P11" s="7">
        <f>P10*Assumptions!$E$41*30</f>
        <v/>
      </c>
      <c r="Q11" s="7">
        <f>Q10*Assumptions!$E$41*30</f>
        <v/>
      </c>
      <c r="R11" s="7">
        <f>R10*Assumptions!$E$41*30</f>
        <v/>
      </c>
      <c r="S11" s="7">
        <f>S10*Assumptions!$E$41*30</f>
        <v/>
      </c>
      <c r="T11" s="7">
        <f>T10*Assumptions!$E$41*30</f>
        <v/>
      </c>
      <c r="U11" s="7">
        <f>U10*Assumptions!$E$41*30</f>
        <v/>
      </c>
      <c r="V11" s="7">
        <f>V10*Assumptions!$E$41*30</f>
        <v/>
      </c>
      <c r="W11" s="7">
        <f>W10*Assumptions!$E$41*30</f>
        <v/>
      </c>
      <c r="X11" s="7">
        <f>X10*Assumptions!$E$41*30</f>
        <v/>
      </c>
      <c r="Y11" s="7">
        <f>Y10*Assumptions!$E$41*30</f>
        <v/>
      </c>
      <c r="Z11" s="7">
        <f>Z10*Assumptions!$E$41*30</f>
        <v/>
      </c>
    </row>
    <row r="12">
      <c r="A12" t="inlineStr">
        <is>
          <t>HE: חשיפות ביניים</t>
        </is>
      </c>
      <c r="B12" s="6">
        <f>SUM(C12:Z12)</f>
        <v/>
      </c>
      <c r="C12" s="7">
        <f>C11*Assumptions!$E$43*(1-Assumptions!$E$45)*(1-(Assumptions!$E$52*(Assumptions!$E$24+Assumptions!$E$26)))*Assumptions!$E$46</f>
        <v/>
      </c>
      <c r="D12" s="7">
        <f>D11*Assumptions!$E$43*(1-Assumptions!$E$45)*(1-(Assumptions!$E$52*(Assumptions!$E$24+Assumptions!$E$26)))*Assumptions!$E$46</f>
        <v/>
      </c>
      <c r="E12" s="7">
        <f>E11*Assumptions!$E$43*(1-Assumptions!$E$45)*(1-(Assumptions!$E$52*(Assumptions!$E$24+Assumptions!$E$26)))*Assumptions!$E$46</f>
        <v/>
      </c>
      <c r="F12" s="7">
        <f>F11*Assumptions!$E$43*(1-Assumptions!$E$45)*(1-(Assumptions!$E$52*(Assumptions!$E$24+Assumptions!$E$26)))*Assumptions!$E$46</f>
        <v/>
      </c>
      <c r="G12" s="7">
        <f>G11*Assumptions!$E$43*(1-Assumptions!$E$45)*(1-(Assumptions!$E$52*(Assumptions!$E$24+Assumptions!$E$26)))*Assumptions!$E$46</f>
        <v/>
      </c>
      <c r="H12" s="7">
        <f>H11*Assumptions!$E$43*(1-Assumptions!$E$45)*(1-(Assumptions!$E$52*(Assumptions!$E$24+Assumptions!$E$26)))*Assumptions!$E$46</f>
        <v/>
      </c>
      <c r="I12" s="7">
        <f>I11*Assumptions!$E$43*(1-Assumptions!$E$45)*(1-(Assumptions!$E$52*(Assumptions!$E$24+Assumptions!$E$26)))*Assumptions!$E$46</f>
        <v/>
      </c>
      <c r="J12" s="7">
        <f>J11*Assumptions!$E$43*(1-Assumptions!$E$45)*(1-(Assumptions!$E$52*(Assumptions!$E$24+Assumptions!$E$26)))*Assumptions!$E$46</f>
        <v/>
      </c>
      <c r="K12" s="7">
        <f>K11*Assumptions!$E$43*(1-Assumptions!$E$45)*(1-(Assumptions!$E$52*(Assumptions!$E$24+Assumptions!$E$26)))*Assumptions!$E$46</f>
        <v/>
      </c>
      <c r="L12" s="7">
        <f>L11*Assumptions!$E$43*(1-Assumptions!$E$45)*(1-(Assumptions!$E$52*(Assumptions!$E$24+Assumptions!$E$26)))*Assumptions!$E$46</f>
        <v/>
      </c>
      <c r="M12" s="7">
        <f>M11*Assumptions!$E$43*(1-Assumptions!$E$45)*(1-(Assumptions!$E$52*(Assumptions!$E$24+Assumptions!$E$26)))*Assumptions!$E$46</f>
        <v/>
      </c>
      <c r="N12" s="7">
        <f>N11*Assumptions!$E$43*(1-Assumptions!$E$45)*(1-(Assumptions!$E$52*(Assumptions!$E$24+Assumptions!$E$26)))*Assumptions!$E$46</f>
        <v/>
      </c>
      <c r="O12" s="7">
        <f>O11*Assumptions!$E$43*(1-Assumptions!$E$45)*(1-(Assumptions!$E$52*(Assumptions!$E$24+Assumptions!$E$26)))*Assumptions!$E$46</f>
        <v/>
      </c>
      <c r="P12" s="7">
        <f>P11*Assumptions!$E$43*(1-Assumptions!$E$45)*(1-(Assumptions!$E$52*(Assumptions!$E$24+Assumptions!$E$26)))*Assumptions!$E$46</f>
        <v/>
      </c>
      <c r="Q12" s="7">
        <f>Q11*Assumptions!$E$43*(1-Assumptions!$E$45)*(1-(Assumptions!$E$52*(Assumptions!$E$24+Assumptions!$E$26)))*Assumptions!$E$46</f>
        <v/>
      </c>
      <c r="R12" s="7">
        <f>R11*Assumptions!$E$43*(1-Assumptions!$E$45)*(1-(Assumptions!$E$52*(Assumptions!$E$24+Assumptions!$E$26)))*Assumptions!$E$46</f>
        <v/>
      </c>
      <c r="S12" s="7">
        <f>S11*Assumptions!$E$43*(1-Assumptions!$E$45)*(1-(Assumptions!$E$52*(Assumptions!$E$24+Assumptions!$E$26)))*Assumptions!$E$46</f>
        <v/>
      </c>
      <c r="T12" s="7">
        <f>T11*Assumptions!$E$43*(1-Assumptions!$E$45)*(1-(Assumptions!$E$52*(Assumptions!$E$24+Assumptions!$E$26)))*Assumptions!$E$46</f>
        <v/>
      </c>
      <c r="U12" s="7">
        <f>U11*Assumptions!$E$43*(1-Assumptions!$E$45)*(1-(Assumptions!$E$52*(Assumptions!$E$24+Assumptions!$E$26)))*Assumptions!$E$46</f>
        <v/>
      </c>
      <c r="V12" s="7">
        <f>V11*Assumptions!$E$43*(1-Assumptions!$E$45)*(1-(Assumptions!$E$52*(Assumptions!$E$24+Assumptions!$E$26)))*Assumptions!$E$46</f>
        <v/>
      </c>
      <c r="W12" s="7">
        <f>W11*Assumptions!$E$43*(1-Assumptions!$E$45)*(1-(Assumptions!$E$52*(Assumptions!$E$24+Assumptions!$E$26)))*Assumptions!$E$46</f>
        <v/>
      </c>
      <c r="X12" s="7">
        <f>X11*Assumptions!$E$43*(1-Assumptions!$E$45)*(1-(Assumptions!$E$52*(Assumptions!$E$24+Assumptions!$E$26)))*Assumptions!$E$46</f>
        <v/>
      </c>
      <c r="Y12" s="7">
        <f>Y11*Assumptions!$E$43*(1-Assumptions!$E$45)*(1-(Assumptions!$E$52*(Assumptions!$E$24+Assumptions!$E$26)))*Assumptions!$E$46</f>
        <v/>
      </c>
      <c r="Z12" s="7">
        <f>Z11*Assumptions!$E$43*(1-Assumptions!$E$45)*(1-(Assumptions!$E$52*(Assumptions!$E$24+Assumptions!$E$26)))*Assumptions!$E$46</f>
        <v/>
      </c>
    </row>
    <row r="13">
      <c r="A13" t="inlineStr">
        <is>
          <t>HE: חשיפות מתוגמלות</t>
        </is>
      </c>
      <c r="B13" s="6">
        <f>SUM(C13:Z13)</f>
        <v/>
      </c>
      <c r="C13" s="7">
        <f>C11*Assumptions!$E$44*Assumptions!$E$46</f>
        <v/>
      </c>
      <c r="D13" s="7">
        <f>D11*Assumptions!$E$44*Assumptions!$E$46</f>
        <v/>
      </c>
      <c r="E13" s="7">
        <f>E11*Assumptions!$E$44*Assumptions!$E$46</f>
        <v/>
      </c>
      <c r="F13" s="7">
        <f>F11*Assumptions!$E$44*Assumptions!$E$46</f>
        <v/>
      </c>
      <c r="G13" s="7">
        <f>G11*Assumptions!$E$44*Assumptions!$E$46</f>
        <v/>
      </c>
      <c r="H13" s="7">
        <f>H11*Assumptions!$E$44*Assumptions!$E$46</f>
        <v/>
      </c>
      <c r="I13" s="7">
        <f>I11*Assumptions!$E$44*Assumptions!$E$46</f>
        <v/>
      </c>
      <c r="J13" s="7">
        <f>J11*Assumptions!$E$44*Assumptions!$E$46</f>
        <v/>
      </c>
      <c r="K13" s="7">
        <f>K11*Assumptions!$E$44*Assumptions!$E$46</f>
        <v/>
      </c>
      <c r="L13" s="7">
        <f>L11*Assumptions!$E$44*Assumptions!$E$46</f>
        <v/>
      </c>
      <c r="M13" s="7">
        <f>M11*Assumptions!$E$44*Assumptions!$E$46</f>
        <v/>
      </c>
      <c r="N13" s="7">
        <f>N11*Assumptions!$E$44*Assumptions!$E$46</f>
        <v/>
      </c>
      <c r="O13" s="7">
        <f>O11*Assumptions!$E$44*Assumptions!$E$46</f>
        <v/>
      </c>
      <c r="P13" s="7">
        <f>P11*Assumptions!$E$44*Assumptions!$E$46</f>
        <v/>
      </c>
      <c r="Q13" s="7">
        <f>Q11*Assumptions!$E$44*Assumptions!$E$46</f>
        <v/>
      </c>
      <c r="R13" s="7">
        <f>R11*Assumptions!$E$44*Assumptions!$E$46</f>
        <v/>
      </c>
      <c r="S13" s="7">
        <f>S11*Assumptions!$E$44*Assumptions!$E$46</f>
        <v/>
      </c>
      <c r="T13" s="7">
        <f>T11*Assumptions!$E$44*Assumptions!$E$46</f>
        <v/>
      </c>
      <c r="U13" s="7">
        <f>U11*Assumptions!$E$44*Assumptions!$E$46</f>
        <v/>
      </c>
      <c r="V13" s="7">
        <f>V11*Assumptions!$E$44*Assumptions!$E$46</f>
        <v/>
      </c>
      <c r="W13" s="7">
        <f>W11*Assumptions!$E$44*Assumptions!$E$46</f>
        <v/>
      </c>
      <c r="X13" s="7">
        <f>X11*Assumptions!$E$44*Assumptions!$E$46</f>
        <v/>
      </c>
      <c r="Y13" s="7">
        <f>Y11*Assumptions!$E$44*Assumptions!$E$46</f>
        <v/>
      </c>
      <c r="Z13" s="7">
        <f>Z11*Assumptions!$E$44*Assumptions!$E$46</f>
        <v/>
      </c>
    </row>
    <row r="14">
      <c r="A14" t="inlineStr">
        <is>
          <t>HE: הכנסת פרסום ($)</t>
        </is>
      </c>
      <c r="B14" s="6">
        <f>SUM(C14:Z14)</f>
        <v/>
      </c>
      <c r="C14" s="7">
        <f>(C12*Assumptions!$E$48+C13*Assumptions!$E$47)/1000</f>
        <v/>
      </c>
      <c r="D14" s="7">
        <f>(D12*Assumptions!$E$48+D13*Assumptions!$E$47)/1000</f>
        <v/>
      </c>
      <c r="E14" s="7">
        <f>(E12*Assumptions!$E$48+E13*Assumptions!$E$47)/1000</f>
        <v/>
      </c>
      <c r="F14" s="7">
        <f>(F12*Assumptions!$E$48+F13*Assumptions!$E$47)/1000</f>
        <v/>
      </c>
      <c r="G14" s="7">
        <f>(G12*Assumptions!$E$48+G13*Assumptions!$E$47)/1000</f>
        <v/>
      </c>
      <c r="H14" s="7">
        <f>(H12*Assumptions!$E$48+H13*Assumptions!$E$47)/1000</f>
        <v/>
      </c>
      <c r="I14" s="7">
        <f>(I12*Assumptions!$E$48+I13*Assumptions!$E$47)/1000</f>
        <v/>
      </c>
      <c r="J14" s="7">
        <f>(J12*Assumptions!$E$48+J13*Assumptions!$E$47)/1000</f>
        <v/>
      </c>
      <c r="K14" s="7">
        <f>(K12*Assumptions!$E$48+K13*Assumptions!$E$47)/1000</f>
        <v/>
      </c>
      <c r="L14" s="7">
        <f>(L12*Assumptions!$E$48+L13*Assumptions!$E$47)/1000</f>
        <v/>
      </c>
      <c r="M14" s="7">
        <f>(M12*Assumptions!$E$48+M13*Assumptions!$E$47)/1000</f>
        <v/>
      </c>
      <c r="N14" s="7">
        <f>(N12*Assumptions!$E$48+N13*Assumptions!$E$47)/1000</f>
        <v/>
      </c>
      <c r="O14" s="7">
        <f>(O12*Assumptions!$E$48+O13*Assumptions!$E$47)/1000</f>
        <v/>
      </c>
      <c r="P14" s="7">
        <f>(P12*Assumptions!$E$48+P13*Assumptions!$E$47)/1000</f>
        <v/>
      </c>
      <c r="Q14" s="7">
        <f>(Q12*Assumptions!$E$48+Q13*Assumptions!$E$47)/1000</f>
        <v/>
      </c>
      <c r="R14" s="7">
        <f>(R12*Assumptions!$E$48+R13*Assumptions!$E$47)/1000</f>
        <v/>
      </c>
      <c r="S14" s="7">
        <f>(S12*Assumptions!$E$48+S13*Assumptions!$E$47)/1000</f>
        <v/>
      </c>
      <c r="T14" s="7">
        <f>(T12*Assumptions!$E$48+T13*Assumptions!$E$47)/1000</f>
        <v/>
      </c>
      <c r="U14" s="7">
        <f>(U12*Assumptions!$E$48+U13*Assumptions!$E$47)/1000</f>
        <v/>
      </c>
      <c r="V14" s="7">
        <f>(V12*Assumptions!$E$48+V13*Assumptions!$E$47)/1000</f>
        <v/>
      </c>
      <c r="W14" s="7">
        <f>(W12*Assumptions!$E$48+W13*Assumptions!$E$47)/1000</f>
        <v/>
      </c>
      <c r="X14" s="7">
        <f>(X12*Assumptions!$E$48+X13*Assumptions!$E$47)/1000</f>
        <v/>
      </c>
      <c r="Y14" s="7">
        <f>(Y12*Assumptions!$E$48+Y13*Assumptions!$E$47)/1000</f>
        <v/>
      </c>
      <c r="Z14" s="7">
        <f>(Z12*Assumptions!$E$48+Z13*Assumptions!$E$47)/1000</f>
        <v/>
      </c>
    </row>
    <row r="15">
      <c r="A15" t="inlineStr">
        <is>
          <t>HE: הכנסת פרסום (₪)</t>
        </is>
      </c>
      <c r="B15" s="6">
        <f>SUM(C15:Z15)</f>
        <v/>
      </c>
      <c r="C15" s="7">
        <f>C14*Assumptions!$E$22</f>
        <v/>
      </c>
      <c r="D15" s="7">
        <f>D14*Assumptions!$E$22</f>
        <v/>
      </c>
      <c r="E15" s="7">
        <f>E14*Assumptions!$E$22</f>
        <v/>
      </c>
      <c r="F15" s="7">
        <f>F14*Assumptions!$E$22</f>
        <v/>
      </c>
      <c r="G15" s="7">
        <f>G14*Assumptions!$E$22</f>
        <v/>
      </c>
      <c r="H15" s="7">
        <f>H14*Assumptions!$E$22</f>
        <v/>
      </c>
      <c r="I15" s="7">
        <f>I14*Assumptions!$E$22</f>
        <v/>
      </c>
      <c r="J15" s="7">
        <f>J14*Assumptions!$E$22</f>
        <v/>
      </c>
      <c r="K15" s="7">
        <f>K14*Assumptions!$E$22</f>
        <v/>
      </c>
      <c r="L15" s="7">
        <f>L14*Assumptions!$E$22</f>
        <v/>
      </c>
      <c r="M15" s="7">
        <f>M14*Assumptions!$E$22</f>
        <v/>
      </c>
      <c r="N15" s="7">
        <f>N14*Assumptions!$E$22</f>
        <v/>
      </c>
      <c r="O15" s="7">
        <f>O14*Assumptions!$E$22</f>
        <v/>
      </c>
      <c r="P15" s="7">
        <f>P14*Assumptions!$E$22</f>
        <v/>
      </c>
      <c r="Q15" s="7">
        <f>Q14*Assumptions!$E$22</f>
        <v/>
      </c>
      <c r="R15" s="7">
        <f>R14*Assumptions!$E$22</f>
        <v/>
      </c>
      <c r="S15" s="7">
        <f>S14*Assumptions!$E$22</f>
        <v/>
      </c>
      <c r="T15" s="7">
        <f>T14*Assumptions!$E$22</f>
        <v/>
      </c>
      <c r="U15" s="7">
        <f>U14*Assumptions!$E$22</f>
        <v/>
      </c>
      <c r="V15" s="7">
        <f>V14*Assumptions!$E$22</f>
        <v/>
      </c>
      <c r="W15" s="7">
        <f>W14*Assumptions!$E$22</f>
        <v/>
      </c>
      <c r="X15" s="7">
        <f>X14*Assumptions!$E$22</f>
        <v/>
      </c>
      <c r="Y15" s="7">
        <f>Y14*Assumptions!$E$22</f>
        <v/>
      </c>
      <c r="Z15" s="7">
        <f>Z14*Assumptions!$E$22</f>
        <v/>
      </c>
    </row>
    <row r="16">
      <c r="A16" t="inlineStr">
        <is>
          <t>HE: רוכשי IAP</t>
        </is>
      </c>
      <c r="B16" s="6">
        <f>SUM(C16:Z16)</f>
        <v/>
      </c>
      <c r="C16" s="7">
        <f>C8*Assumptions!$E$52</f>
        <v/>
      </c>
      <c r="D16" s="7">
        <f>D8*Assumptions!$E$52</f>
        <v/>
      </c>
      <c r="E16" s="7">
        <f>E8*Assumptions!$E$52</f>
        <v/>
      </c>
      <c r="F16" s="7">
        <f>F8*Assumptions!$E$52</f>
        <v/>
      </c>
      <c r="G16" s="7">
        <f>G8*Assumptions!$E$52</f>
        <v/>
      </c>
      <c r="H16" s="7">
        <f>H8*Assumptions!$E$52</f>
        <v/>
      </c>
      <c r="I16" s="7">
        <f>I8*Assumptions!$E$52</f>
        <v/>
      </c>
      <c r="J16" s="7">
        <f>J8*Assumptions!$E$52</f>
        <v/>
      </c>
      <c r="K16" s="7">
        <f>K8*Assumptions!$E$52</f>
        <v/>
      </c>
      <c r="L16" s="7">
        <f>L8*Assumptions!$E$52</f>
        <v/>
      </c>
      <c r="M16" s="7">
        <f>M8*Assumptions!$E$52</f>
        <v/>
      </c>
      <c r="N16" s="7">
        <f>N8*Assumptions!$E$52</f>
        <v/>
      </c>
      <c r="O16" s="7">
        <f>O8*Assumptions!$E$52</f>
        <v/>
      </c>
      <c r="P16" s="7">
        <f>P8*Assumptions!$E$52</f>
        <v/>
      </c>
      <c r="Q16" s="7">
        <f>Q8*Assumptions!$E$52</f>
        <v/>
      </c>
      <c r="R16" s="7">
        <f>R8*Assumptions!$E$52</f>
        <v/>
      </c>
      <c r="S16" s="7">
        <f>S8*Assumptions!$E$52</f>
        <v/>
      </c>
      <c r="T16" s="7">
        <f>T8*Assumptions!$E$52</f>
        <v/>
      </c>
      <c r="U16" s="7">
        <f>U8*Assumptions!$E$52</f>
        <v/>
      </c>
      <c r="V16" s="7">
        <f>V8*Assumptions!$E$52</f>
        <v/>
      </c>
      <c r="W16" s="7">
        <f>W8*Assumptions!$E$52</f>
        <v/>
      </c>
      <c r="X16" s="7">
        <f>X8*Assumptions!$E$52</f>
        <v/>
      </c>
      <c r="Y16" s="7">
        <f>Y8*Assumptions!$E$52</f>
        <v/>
      </c>
      <c r="Z16" s="7">
        <f>Z8*Assumptions!$E$52</f>
        <v/>
      </c>
    </row>
    <row r="17">
      <c r="A17" t="inlineStr">
        <is>
          <t>HE: IAP ברוטו (₪, מחיר צרכן)</t>
        </is>
      </c>
      <c r="B17" s="6">
        <f>SUM(C17:Z17)</f>
        <v/>
      </c>
      <c r="C17" s="7">
        <f>C16*(Assumptions!$E$24*Assumptions!$E$9+Assumptions!$E$25*Assumptions!$E$10+Assumptions!$E$26*Assumptions!$E$11)</f>
        <v/>
      </c>
      <c r="D17" s="7">
        <f>D16*(Assumptions!$E$24*Assumptions!$E$9+Assumptions!$E$25*Assumptions!$E$10+Assumptions!$E$26*Assumptions!$E$11)</f>
        <v/>
      </c>
      <c r="E17" s="7">
        <f>E16*(Assumptions!$E$24*Assumptions!$E$9+Assumptions!$E$25*Assumptions!$E$10+Assumptions!$E$26*Assumptions!$E$11)</f>
        <v/>
      </c>
      <c r="F17" s="7">
        <f>F16*(Assumptions!$E$24*Assumptions!$E$9+Assumptions!$E$25*Assumptions!$E$10+Assumptions!$E$26*Assumptions!$E$11)</f>
        <v/>
      </c>
      <c r="G17" s="7">
        <f>G16*(Assumptions!$E$24*Assumptions!$E$9+Assumptions!$E$25*Assumptions!$E$10+Assumptions!$E$26*Assumptions!$E$11)</f>
        <v/>
      </c>
      <c r="H17" s="7">
        <f>H16*(Assumptions!$E$24*Assumptions!$E$9+Assumptions!$E$25*Assumptions!$E$10+Assumptions!$E$26*Assumptions!$E$11)</f>
        <v/>
      </c>
      <c r="I17" s="7">
        <f>I16*(Assumptions!$E$24*Assumptions!$E$9+Assumptions!$E$25*Assumptions!$E$10+Assumptions!$E$26*Assumptions!$E$11)</f>
        <v/>
      </c>
      <c r="J17" s="7">
        <f>J16*(Assumptions!$E$24*Assumptions!$E$9+Assumptions!$E$25*Assumptions!$E$10+Assumptions!$E$26*Assumptions!$E$11)</f>
        <v/>
      </c>
      <c r="K17" s="7">
        <f>K16*(Assumptions!$E$24*Assumptions!$E$9+Assumptions!$E$25*Assumptions!$E$10+Assumptions!$E$26*Assumptions!$E$11)</f>
        <v/>
      </c>
      <c r="L17" s="7">
        <f>L16*(Assumptions!$E$24*Assumptions!$E$9+Assumptions!$E$25*Assumptions!$E$10+Assumptions!$E$26*Assumptions!$E$11)</f>
        <v/>
      </c>
      <c r="M17" s="7">
        <f>M16*(Assumptions!$E$24*Assumptions!$E$9+Assumptions!$E$25*Assumptions!$E$10+Assumptions!$E$26*Assumptions!$E$11)</f>
        <v/>
      </c>
      <c r="N17" s="7">
        <f>N16*(Assumptions!$E$24*Assumptions!$E$9+Assumptions!$E$25*Assumptions!$E$10+Assumptions!$E$26*Assumptions!$E$11)</f>
        <v/>
      </c>
      <c r="O17" s="7">
        <f>O16*(Assumptions!$E$24*Assumptions!$E$9+Assumptions!$E$25*Assumptions!$E$10+Assumptions!$E$26*Assumptions!$E$11)</f>
        <v/>
      </c>
      <c r="P17" s="7">
        <f>P16*(Assumptions!$E$24*Assumptions!$E$9+Assumptions!$E$25*Assumptions!$E$10+Assumptions!$E$26*Assumptions!$E$11)</f>
        <v/>
      </c>
      <c r="Q17" s="7">
        <f>Q16*(Assumptions!$E$24*Assumptions!$E$9+Assumptions!$E$25*Assumptions!$E$10+Assumptions!$E$26*Assumptions!$E$11)</f>
        <v/>
      </c>
      <c r="R17" s="7">
        <f>R16*(Assumptions!$E$24*Assumptions!$E$9+Assumptions!$E$25*Assumptions!$E$10+Assumptions!$E$26*Assumptions!$E$11)</f>
        <v/>
      </c>
      <c r="S17" s="7">
        <f>S16*(Assumptions!$E$24*Assumptions!$E$9+Assumptions!$E$25*Assumptions!$E$10+Assumptions!$E$26*Assumptions!$E$11)</f>
        <v/>
      </c>
      <c r="T17" s="7">
        <f>T16*(Assumptions!$E$24*Assumptions!$E$9+Assumptions!$E$25*Assumptions!$E$10+Assumptions!$E$26*Assumptions!$E$11)</f>
        <v/>
      </c>
      <c r="U17" s="7">
        <f>U16*(Assumptions!$E$24*Assumptions!$E$9+Assumptions!$E$25*Assumptions!$E$10+Assumptions!$E$26*Assumptions!$E$11)</f>
        <v/>
      </c>
      <c r="V17" s="7">
        <f>V16*(Assumptions!$E$24*Assumptions!$E$9+Assumptions!$E$25*Assumptions!$E$10+Assumptions!$E$26*Assumptions!$E$11)</f>
        <v/>
      </c>
      <c r="W17" s="7">
        <f>W16*(Assumptions!$E$24*Assumptions!$E$9+Assumptions!$E$25*Assumptions!$E$10+Assumptions!$E$26*Assumptions!$E$11)</f>
        <v/>
      </c>
      <c r="X17" s="7">
        <f>X16*(Assumptions!$E$24*Assumptions!$E$9+Assumptions!$E$25*Assumptions!$E$10+Assumptions!$E$26*Assumptions!$E$11)</f>
        <v/>
      </c>
      <c r="Y17" s="7">
        <f>Y16*(Assumptions!$E$24*Assumptions!$E$9+Assumptions!$E$25*Assumptions!$E$10+Assumptions!$E$26*Assumptions!$E$11)</f>
        <v/>
      </c>
      <c r="Z17" s="7">
        <f>Z16*(Assumptions!$E$24*Assumptions!$E$9+Assumptions!$E$25*Assumptions!$E$10+Assumptions!$E$26*Assumptions!$E$11)</f>
        <v/>
      </c>
    </row>
    <row r="18">
      <c r="A18" t="inlineStr">
        <is>
          <t>HE: IAP נטו אחרי מסים ועמלת חנות (₪)</t>
        </is>
      </c>
      <c r="B18" s="6">
        <f>SUM(C18:Z18)</f>
        <v/>
      </c>
      <c r="C18" s="7">
        <f>C17/(1+Assumptions!$E$20)*(1-Assumptions!$E$19)</f>
        <v/>
      </c>
      <c r="D18" s="7">
        <f>D17/(1+Assumptions!$E$20)*(1-Assumptions!$E$19)</f>
        <v/>
      </c>
      <c r="E18" s="7">
        <f>E17/(1+Assumptions!$E$20)*(1-Assumptions!$E$19)</f>
        <v/>
      </c>
      <c r="F18" s="7">
        <f>F17/(1+Assumptions!$E$20)*(1-Assumptions!$E$19)</f>
        <v/>
      </c>
      <c r="G18" s="7">
        <f>G17/(1+Assumptions!$E$20)*(1-Assumptions!$E$19)</f>
        <v/>
      </c>
      <c r="H18" s="7">
        <f>H17/(1+Assumptions!$E$20)*(1-Assumptions!$E$19)</f>
        <v/>
      </c>
      <c r="I18" s="7">
        <f>I17/(1+Assumptions!$E$20)*(1-Assumptions!$E$19)</f>
        <v/>
      </c>
      <c r="J18" s="7">
        <f>J17/(1+Assumptions!$E$20)*(1-Assumptions!$E$19)</f>
        <v/>
      </c>
      <c r="K18" s="7">
        <f>K17/(1+Assumptions!$E$20)*(1-Assumptions!$E$19)</f>
        <v/>
      </c>
      <c r="L18" s="7">
        <f>L17/(1+Assumptions!$E$20)*(1-Assumptions!$E$19)</f>
        <v/>
      </c>
      <c r="M18" s="7">
        <f>M17/(1+Assumptions!$E$20)*(1-Assumptions!$E$19)</f>
        <v/>
      </c>
      <c r="N18" s="7">
        <f>N17/(1+Assumptions!$E$20)*(1-Assumptions!$E$19)</f>
        <v/>
      </c>
      <c r="O18" s="7">
        <f>O17/(1+Assumptions!$E$20)*(1-Assumptions!$E$19)</f>
        <v/>
      </c>
      <c r="P18" s="7">
        <f>P17/(1+Assumptions!$E$20)*(1-Assumptions!$E$19)</f>
        <v/>
      </c>
      <c r="Q18" s="7">
        <f>Q17/(1+Assumptions!$E$20)*(1-Assumptions!$E$19)</f>
        <v/>
      </c>
      <c r="R18" s="7">
        <f>R17/(1+Assumptions!$E$20)*(1-Assumptions!$E$19)</f>
        <v/>
      </c>
      <c r="S18" s="7">
        <f>S17/(1+Assumptions!$E$20)*(1-Assumptions!$E$19)</f>
        <v/>
      </c>
      <c r="T18" s="7">
        <f>T17/(1+Assumptions!$E$20)*(1-Assumptions!$E$19)</f>
        <v/>
      </c>
      <c r="U18" s="7">
        <f>U17/(1+Assumptions!$E$20)*(1-Assumptions!$E$19)</f>
        <v/>
      </c>
      <c r="V18" s="7">
        <f>V17/(1+Assumptions!$E$20)*(1-Assumptions!$E$19)</f>
        <v/>
      </c>
      <c r="W18" s="7">
        <f>W17/(1+Assumptions!$E$20)*(1-Assumptions!$E$19)</f>
        <v/>
      </c>
      <c r="X18" s="7">
        <f>X17/(1+Assumptions!$E$20)*(1-Assumptions!$E$19)</f>
        <v/>
      </c>
      <c r="Y18" s="7">
        <f>Y17/(1+Assumptions!$E$20)*(1-Assumptions!$E$19)</f>
        <v/>
      </c>
      <c r="Z18" s="7">
        <f>Z17/(1+Assumptions!$E$20)*(1-Assumptions!$E$19)</f>
        <v/>
      </c>
    </row>
    <row r="19">
      <c r="A19" s="1" t="inlineStr">
        <is>
          <t>-- B2B (ישראל, לפני מע"מ, ללא עמלת חנות) --</t>
        </is>
      </c>
    </row>
    <row r="20">
      <c r="A20" t="inlineStr">
        <is>
          <t>B2B: הכנסה ממכירות חדשות (₪)</t>
        </is>
      </c>
      <c r="B20" s="6">
        <f>SUM(C20:Z20)</f>
        <v/>
      </c>
      <c r="C20" s="7">
        <f>IF(C$3&gt;=Assumptions!$E$54,Assumptions!$E$55*Assumptions!$E$16+Assumptions!$E$56*Assumptions!$E$15+Assumptions!$E$57*Assumptions!$E$17,0)</f>
        <v/>
      </c>
      <c r="D20" s="7">
        <f>IF(D$3&gt;=Assumptions!$E$54,Assumptions!$E$55*Assumptions!$E$16+Assumptions!$E$56*Assumptions!$E$15+Assumptions!$E$57*Assumptions!$E$17,0)</f>
        <v/>
      </c>
      <c r="E20" s="7">
        <f>IF(E$3&gt;=Assumptions!$E$54,Assumptions!$E$55*Assumptions!$E$16+Assumptions!$E$56*Assumptions!$E$15+Assumptions!$E$57*Assumptions!$E$17,0)</f>
        <v/>
      </c>
      <c r="F20" s="7">
        <f>IF(F$3&gt;=Assumptions!$E$54,Assumptions!$E$55*Assumptions!$E$16+Assumptions!$E$56*Assumptions!$E$15+Assumptions!$E$57*Assumptions!$E$17,0)</f>
        <v/>
      </c>
      <c r="G20" s="7">
        <f>IF(G$3&gt;=Assumptions!$E$54,Assumptions!$E$55*Assumptions!$E$16+Assumptions!$E$56*Assumptions!$E$15+Assumptions!$E$57*Assumptions!$E$17,0)</f>
        <v/>
      </c>
      <c r="H20" s="7">
        <f>IF(H$3&gt;=Assumptions!$E$54,Assumptions!$E$55*Assumptions!$E$16+Assumptions!$E$56*Assumptions!$E$15+Assumptions!$E$57*Assumptions!$E$17,0)</f>
        <v/>
      </c>
      <c r="I20" s="7">
        <f>IF(I$3&gt;=Assumptions!$E$54,Assumptions!$E$55*Assumptions!$E$16+Assumptions!$E$56*Assumptions!$E$15+Assumptions!$E$57*Assumptions!$E$17,0)</f>
        <v/>
      </c>
      <c r="J20" s="7">
        <f>IF(J$3&gt;=Assumptions!$E$54,Assumptions!$E$55*Assumptions!$E$16+Assumptions!$E$56*Assumptions!$E$15+Assumptions!$E$57*Assumptions!$E$17,0)</f>
        <v/>
      </c>
      <c r="K20" s="7">
        <f>IF(K$3&gt;=Assumptions!$E$54,Assumptions!$E$55*Assumptions!$E$16+Assumptions!$E$56*Assumptions!$E$15+Assumptions!$E$57*Assumptions!$E$17,0)</f>
        <v/>
      </c>
      <c r="L20" s="7">
        <f>IF(L$3&gt;=Assumptions!$E$54,Assumptions!$E$55*Assumptions!$E$16+Assumptions!$E$56*Assumptions!$E$15+Assumptions!$E$57*Assumptions!$E$17,0)</f>
        <v/>
      </c>
      <c r="M20" s="7">
        <f>IF(M$3&gt;=Assumptions!$E$54,Assumptions!$E$55*Assumptions!$E$16+Assumptions!$E$56*Assumptions!$E$15+Assumptions!$E$57*Assumptions!$E$17,0)</f>
        <v/>
      </c>
      <c r="N20" s="7">
        <f>IF(N$3&gt;=Assumptions!$E$54,Assumptions!$E$55*Assumptions!$E$16+Assumptions!$E$56*Assumptions!$E$15+Assumptions!$E$57*Assumptions!$E$17,0)</f>
        <v/>
      </c>
      <c r="O20" s="7">
        <f>IF(O$3&gt;=Assumptions!$E$54,Assumptions!$E$55*Assumptions!$E$16+Assumptions!$E$56*Assumptions!$E$15+Assumptions!$E$57*Assumptions!$E$17,0)</f>
        <v/>
      </c>
      <c r="P20" s="7">
        <f>IF(P$3&gt;=Assumptions!$E$54,Assumptions!$E$55*Assumptions!$E$16+Assumptions!$E$56*Assumptions!$E$15+Assumptions!$E$57*Assumptions!$E$17,0)</f>
        <v/>
      </c>
      <c r="Q20" s="7">
        <f>IF(Q$3&gt;=Assumptions!$E$54,Assumptions!$E$55*Assumptions!$E$16+Assumptions!$E$56*Assumptions!$E$15+Assumptions!$E$57*Assumptions!$E$17,0)</f>
        <v/>
      </c>
      <c r="R20" s="7">
        <f>IF(R$3&gt;=Assumptions!$E$54,Assumptions!$E$55*Assumptions!$E$16+Assumptions!$E$56*Assumptions!$E$15+Assumptions!$E$57*Assumptions!$E$17,0)</f>
        <v/>
      </c>
      <c r="S20" s="7">
        <f>IF(S$3&gt;=Assumptions!$E$54,Assumptions!$E$55*Assumptions!$E$16+Assumptions!$E$56*Assumptions!$E$15+Assumptions!$E$57*Assumptions!$E$17,0)</f>
        <v/>
      </c>
      <c r="T20" s="7">
        <f>IF(T$3&gt;=Assumptions!$E$54,Assumptions!$E$55*Assumptions!$E$16+Assumptions!$E$56*Assumptions!$E$15+Assumptions!$E$57*Assumptions!$E$17,0)</f>
        <v/>
      </c>
      <c r="U20" s="7">
        <f>IF(U$3&gt;=Assumptions!$E$54,Assumptions!$E$55*Assumptions!$E$16+Assumptions!$E$56*Assumptions!$E$15+Assumptions!$E$57*Assumptions!$E$17,0)</f>
        <v/>
      </c>
      <c r="V20" s="7">
        <f>IF(V$3&gt;=Assumptions!$E$54,Assumptions!$E$55*Assumptions!$E$16+Assumptions!$E$56*Assumptions!$E$15+Assumptions!$E$57*Assumptions!$E$17,0)</f>
        <v/>
      </c>
      <c r="W20" s="7">
        <f>IF(W$3&gt;=Assumptions!$E$54,Assumptions!$E$55*Assumptions!$E$16+Assumptions!$E$56*Assumptions!$E$15+Assumptions!$E$57*Assumptions!$E$17,0)</f>
        <v/>
      </c>
      <c r="X20" s="7">
        <f>IF(X$3&gt;=Assumptions!$E$54,Assumptions!$E$55*Assumptions!$E$16+Assumptions!$E$56*Assumptions!$E$15+Assumptions!$E$57*Assumptions!$E$17,0)</f>
        <v/>
      </c>
      <c r="Y20" s="7">
        <f>IF(Y$3&gt;=Assumptions!$E$54,Assumptions!$E$55*Assumptions!$E$16+Assumptions!$E$56*Assumptions!$E$15+Assumptions!$E$57*Assumptions!$E$17,0)</f>
        <v/>
      </c>
      <c r="Z20" s="7">
        <f>IF(Z$3&gt;=Assumptions!$E$54,Assumptions!$E$55*Assumptions!$E$16+Assumptions!$E$56*Assumptions!$E$15+Assumptions!$E$57*Assumptions!$E$17,0)</f>
        <v/>
      </c>
    </row>
    <row r="21">
      <c r="A21" t="inlineStr">
        <is>
          <t>B2B: הכנסה מחידושים (₪)</t>
        </is>
      </c>
      <c r="B21" s="6">
        <f>SUM(C21:Z21)</f>
        <v/>
      </c>
      <c r="C21" s="7">
        <f>0</f>
        <v/>
      </c>
      <c r="D21" s="7">
        <f>0</f>
        <v/>
      </c>
      <c r="E21" s="7">
        <f>0</f>
        <v/>
      </c>
      <c r="F21" s="7">
        <f>0</f>
        <v/>
      </c>
      <c r="G21" s="7">
        <f>0</f>
        <v/>
      </c>
      <c r="H21" s="7">
        <f>0</f>
        <v/>
      </c>
      <c r="I21" s="7">
        <f>0</f>
        <v/>
      </c>
      <c r="J21" s="7">
        <f>0</f>
        <v/>
      </c>
      <c r="K21" s="7">
        <f>0</f>
        <v/>
      </c>
      <c r="L21" s="7">
        <f>0</f>
        <v/>
      </c>
      <c r="M21" s="7">
        <f>0</f>
        <v/>
      </c>
      <c r="N21" s="7">
        <f>0</f>
        <v/>
      </c>
      <c r="O21" s="7">
        <f>Assumptions!$E$58*C20</f>
        <v/>
      </c>
      <c r="P21" s="7">
        <f>Assumptions!$E$58*D20</f>
        <v/>
      </c>
      <c r="Q21" s="7">
        <f>Assumptions!$E$58*E20</f>
        <v/>
      </c>
      <c r="R21" s="7">
        <f>Assumptions!$E$58*F20</f>
        <v/>
      </c>
      <c r="S21" s="7">
        <f>Assumptions!$E$58*G20</f>
        <v/>
      </c>
      <c r="T21" s="7">
        <f>Assumptions!$E$58*H20</f>
        <v/>
      </c>
      <c r="U21" s="7">
        <f>Assumptions!$E$58*I20</f>
        <v/>
      </c>
      <c r="V21" s="7">
        <f>Assumptions!$E$58*J20</f>
        <v/>
      </c>
      <c r="W21" s="7">
        <f>Assumptions!$E$58*K20</f>
        <v/>
      </c>
      <c r="X21" s="7">
        <f>Assumptions!$E$58*L20</f>
        <v/>
      </c>
      <c r="Y21" s="7">
        <f>Assumptions!$E$58*M20</f>
        <v/>
      </c>
      <c r="Z21" s="7">
        <f>Assumptions!$E$58*N20</f>
        <v/>
      </c>
    </row>
    <row r="22">
      <c r="A22" t="inlineStr">
        <is>
          <t>B2B: סה"כ הכנסה (₪)</t>
        </is>
      </c>
      <c r="B22" s="6">
        <f>SUM(C22:Z22)</f>
        <v/>
      </c>
      <c r="C22" s="7">
        <f>C20+C21</f>
        <v/>
      </c>
      <c r="D22" s="7">
        <f>D20+D21</f>
        <v/>
      </c>
      <c r="E22" s="7">
        <f>E20+E21</f>
        <v/>
      </c>
      <c r="F22" s="7">
        <f>F20+F21</f>
        <v/>
      </c>
      <c r="G22" s="7">
        <f>G20+G21</f>
        <v/>
      </c>
      <c r="H22" s="7">
        <f>H20+H21</f>
        <v/>
      </c>
      <c r="I22" s="7">
        <f>I20+I21</f>
        <v/>
      </c>
      <c r="J22" s="7">
        <f>J20+J21</f>
        <v/>
      </c>
      <c r="K22" s="7">
        <f>K20+K21</f>
        <v/>
      </c>
      <c r="L22" s="7">
        <f>L20+L21</f>
        <v/>
      </c>
      <c r="M22" s="7">
        <f>M20+M21</f>
        <v/>
      </c>
      <c r="N22" s="7">
        <f>N20+N21</f>
        <v/>
      </c>
      <c r="O22" s="7">
        <f>O20+O21</f>
        <v/>
      </c>
      <c r="P22" s="7">
        <f>P20+P21</f>
        <v/>
      </c>
      <c r="Q22" s="7">
        <f>Q20+Q21</f>
        <v/>
      </c>
      <c r="R22" s="7">
        <f>R20+R21</f>
        <v/>
      </c>
      <c r="S22" s="7">
        <f>S20+S21</f>
        <v/>
      </c>
      <c r="T22" s="7">
        <f>T20+T21</f>
        <v/>
      </c>
      <c r="U22" s="7">
        <f>U20+U21</f>
        <v/>
      </c>
      <c r="V22" s="7">
        <f>V20+V21</f>
        <v/>
      </c>
      <c r="W22" s="7">
        <f>W20+W21</f>
        <v/>
      </c>
      <c r="X22" s="7">
        <f>X20+X21</f>
        <v/>
      </c>
      <c r="Y22" s="7">
        <f>Y20+Y21</f>
        <v/>
      </c>
      <c r="Z22" s="7">
        <f>Z20+Z21</f>
        <v/>
      </c>
    </row>
    <row r="24">
      <c r="A24" s="1" t="inlineStr">
        <is>
          <t>-- שוק אנגלי (מחודש ההשקה) --</t>
        </is>
      </c>
    </row>
    <row r="25">
      <c r="A25" t="inlineStr">
        <is>
          <t>EN: התקנות אורגניות</t>
        </is>
      </c>
      <c r="B25" s="6">
        <f>SUM(C25:Z25)</f>
        <v/>
      </c>
      <c r="C25" s="7">
        <f>IF(C$3&gt;=Assumptions!$E$31,Assumptions!$E$30*(1+Assumptions!$E$29)^(C$3-Assumptions!$E$31),0)</f>
        <v/>
      </c>
      <c r="D25" s="7">
        <f>IF(D$3&gt;=Assumptions!$E$31,Assumptions!$E$30*(1+Assumptions!$E$29)^(D$3-Assumptions!$E$31),0)</f>
        <v/>
      </c>
      <c r="E25" s="7">
        <f>IF(E$3&gt;=Assumptions!$E$31,Assumptions!$E$30*(1+Assumptions!$E$29)^(E$3-Assumptions!$E$31),0)</f>
        <v/>
      </c>
      <c r="F25" s="7">
        <f>IF(F$3&gt;=Assumptions!$E$31,Assumptions!$E$30*(1+Assumptions!$E$29)^(F$3-Assumptions!$E$31),0)</f>
        <v/>
      </c>
      <c r="G25" s="7">
        <f>IF(G$3&gt;=Assumptions!$E$31,Assumptions!$E$30*(1+Assumptions!$E$29)^(G$3-Assumptions!$E$31),0)</f>
        <v/>
      </c>
      <c r="H25" s="7">
        <f>IF(H$3&gt;=Assumptions!$E$31,Assumptions!$E$30*(1+Assumptions!$E$29)^(H$3-Assumptions!$E$31),0)</f>
        <v/>
      </c>
      <c r="I25" s="7">
        <f>IF(I$3&gt;=Assumptions!$E$31,Assumptions!$E$30*(1+Assumptions!$E$29)^(I$3-Assumptions!$E$31),0)</f>
        <v/>
      </c>
      <c r="J25" s="7">
        <f>IF(J$3&gt;=Assumptions!$E$31,Assumptions!$E$30*(1+Assumptions!$E$29)^(J$3-Assumptions!$E$31),0)</f>
        <v/>
      </c>
      <c r="K25" s="7">
        <f>IF(K$3&gt;=Assumptions!$E$31,Assumptions!$E$30*(1+Assumptions!$E$29)^(K$3-Assumptions!$E$31),0)</f>
        <v/>
      </c>
      <c r="L25" s="7">
        <f>IF(L$3&gt;=Assumptions!$E$31,Assumptions!$E$30*(1+Assumptions!$E$29)^(L$3-Assumptions!$E$31),0)</f>
        <v/>
      </c>
      <c r="M25" s="7">
        <f>IF(M$3&gt;=Assumptions!$E$31,Assumptions!$E$30*(1+Assumptions!$E$29)^(M$3-Assumptions!$E$31),0)</f>
        <v/>
      </c>
      <c r="N25" s="7">
        <f>IF(N$3&gt;=Assumptions!$E$31,Assumptions!$E$30*(1+Assumptions!$E$29)^(N$3-Assumptions!$E$31),0)</f>
        <v/>
      </c>
      <c r="O25" s="7">
        <f>IF(O$3&gt;=Assumptions!$E$31,Assumptions!$E$30*(1+Assumptions!$E$29)^(O$3-Assumptions!$E$31),0)</f>
        <v/>
      </c>
      <c r="P25" s="7">
        <f>IF(P$3&gt;=Assumptions!$E$31,Assumptions!$E$30*(1+Assumptions!$E$29)^(P$3-Assumptions!$E$31),0)</f>
        <v/>
      </c>
      <c r="Q25" s="7">
        <f>IF(Q$3&gt;=Assumptions!$E$31,Assumptions!$E$30*(1+Assumptions!$E$29)^(Q$3-Assumptions!$E$31),0)</f>
        <v/>
      </c>
      <c r="R25" s="7">
        <f>IF(R$3&gt;=Assumptions!$E$31,Assumptions!$E$30*(1+Assumptions!$E$29)^(R$3-Assumptions!$E$31),0)</f>
        <v/>
      </c>
      <c r="S25" s="7">
        <f>IF(S$3&gt;=Assumptions!$E$31,Assumptions!$E$30*(1+Assumptions!$E$29)^(S$3-Assumptions!$E$31),0)</f>
        <v/>
      </c>
      <c r="T25" s="7">
        <f>IF(T$3&gt;=Assumptions!$E$31,Assumptions!$E$30*(1+Assumptions!$E$29)^(T$3-Assumptions!$E$31),0)</f>
        <v/>
      </c>
      <c r="U25" s="7">
        <f>IF(U$3&gt;=Assumptions!$E$31,Assumptions!$E$30*(1+Assumptions!$E$29)^(U$3-Assumptions!$E$31),0)</f>
        <v/>
      </c>
      <c r="V25" s="7">
        <f>IF(V$3&gt;=Assumptions!$E$31,Assumptions!$E$30*(1+Assumptions!$E$29)^(V$3-Assumptions!$E$31),0)</f>
        <v/>
      </c>
      <c r="W25" s="7">
        <f>IF(W$3&gt;=Assumptions!$E$31,Assumptions!$E$30*(1+Assumptions!$E$29)^(W$3-Assumptions!$E$31),0)</f>
        <v/>
      </c>
      <c r="X25" s="7">
        <f>IF(X$3&gt;=Assumptions!$E$31,Assumptions!$E$30*(1+Assumptions!$E$29)^(X$3-Assumptions!$E$31),0)</f>
        <v/>
      </c>
      <c r="Y25" s="7">
        <f>IF(Y$3&gt;=Assumptions!$E$31,Assumptions!$E$30*(1+Assumptions!$E$29)^(Y$3-Assumptions!$E$31),0)</f>
        <v/>
      </c>
      <c r="Z25" s="7">
        <f>IF(Z$3&gt;=Assumptions!$E$31,Assumptions!$E$30*(1+Assumptions!$E$29)^(Z$3-Assumptions!$E$31),0)</f>
        <v/>
      </c>
    </row>
    <row r="26">
      <c r="A26" t="inlineStr">
        <is>
          <t>EN: הוצאת פרסום (אין)</t>
        </is>
      </c>
      <c r="B26" s="6">
        <f>SUM(C26:Z26)</f>
        <v/>
      </c>
      <c r="C26" s="7">
        <f>0</f>
        <v/>
      </c>
      <c r="D26" s="7">
        <f>0</f>
        <v/>
      </c>
      <c r="E26" s="7">
        <f>0</f>
        <v/>
      </c>
      <c r="F26" s="7">
        <f>0</f>
        <v/>
      </c>
      <c r="G26" s="7">
        <f>0</f>
        <v/>
      </c>
      <c r="H26" s="7">
        <f>0</f>
        <v/>
      </c>
      <c r="I26" s="7">
        <f>0</f>
        <v/>
      </c>
      <c r="J26" s="7">
        <f>0</f>
        <v/>
      </c>
      <c r="K26" s="7">
        <f>0</f>
        <v/>
      </c>
      <c r="L26" s="7">
        <f>0</f>
        <v/>
      </c>
      <c r="M26" s="7">
        <f>0</f>
        <v/>
      </c>
      <c r="N26" s="7">
        <f>0</f>
        <v/>
      </c>
      <c r="O26" s="7">
        <f>0</f>
        <v/>
      </c>
      <c r="P26" s="7">
        <f>0</f>
        <v/>
      </c>
      <c r="Q26" s="7">
        <f>0</f>
        <v/>
      </c>
      <c r="R26" s="7">
        <f>0</f>
        <v/>
      </c>
      <c r="S26" s="7">
        <f>0</f>
        <v/>
      </c>
      <c r="T26" s="7">
        <f>0</f>
        <v/>
      </c>
      <c r="U26" s="7">
        <f>0</f>
        <v/>
      </c>
      <c r="V26" s="7">
        <f>0</f>
        <v/>
      </c>
      <c r="W26" s="7">
        <f>0</f>
        <v/>
      </c>
      <c r="X26" s="7">
        <f>0</f>
        <v/>
      </c>
      <c r="Y26" s="7">
        <f>0</f>
        <v/>
      </c>
      <c r="Z26" s="7">
        <f>0</f>
        <v/>
      </c>
    </row>
    <row r="27">
      <c r="A27" t="inlineStr">
        <is>
          <t>EN: התקנות בתשלום (אין)</t>
        </is>
      </c>
      <c r="B27" s="6">
        <f>SUM(C27:Z27)</f>
        <v/>
      </c>
      <c r="C27" s="7">
        <f>0</f>
        <v/>
      </c>
      <c r="D27" s="7">
        <f>0</f>
        <v/>
      </c>
      <c r="E27" s="7">
        <f>0</f>
        <v/>
      </c>
      <c r="F27" s="7">
        <f>0</f>
        <v/>
      </c>
      <c r="G27" s="7">
        <f>0</f>
        <v/>
      </c>
      <c r="H27" s="7">
        <f>0</f>
        <v/>
      </c>
      <c r="I27" s="7">
        <f>0</f>
        <v/>
      </c>
      <c r="J27" s="7">
        <f>0</f>
        <v/>
      </c>
      <c r="K27" s="7">
        <f>0</f>
        <v/>
      </c>
      <c r="L27" s="7">
        <f>0</f>
        <v/>
      </c>
      <c r="M27" s="7">
        <f>0</f>
        <v/>
      </c>
      <c r="N27" s="7">
        <f>0</f>
        <v/>
      </c>
      <c r="O27" s="7">
        <f>0</f>
        <v/>
      </c>
      <c r="P27" s="7">
        <f>0</f>
        <v/>
      </c>
      <c r="Q27" s="7">
        <f>0</f>
        <v/>
      </c>
      <c r="R27" s="7">
        <f>0</f>
        <v/>
      </c>
      <c r="S27" s="7">
        <f>0</f>
        <v/>
      </c>
      <c r="T27" s="7">
        <f>0</f>
        <v/>
      </c>
      <c r="U27" s="7">
        <f>0</f>
        <v/>
      </c>
      <c r="V27" s="7">
        <f>0</f>
        <v/>
      </c>
      <c r="W27" s="7">
        <f>0</f>
        <v/>
      </c>
      <c r="X27" s="7">
        <f>0</f>
        <v/>
      </c>
      <c r="Y27" s="7">
        <f>0</f>
        <v/>
      </c>
      <c r="Z27" s="7">
        <f>0</f>
        <v/>
      </c>
    </row>
    <row r="28">
      <c r="A28" t="inlineStr">
        <is>
          <t>EN: סה"כ התקנות</t>
        </is>
      </c>
      <c r="B28" s="6">
        <f>SUM(C28:Z28)</f>
        <v/>
      </c>
      <c r="C28" s="7">
        <f>C25+C27</f>
        <v/>
      </c>
      <c r="D28" s="7">
        <f>D25+D27</f>
        <v/>
      </c>
      <c r="E28" s="7">
        <f>E25+E27</f>
        <v/>
      </c>
      <c r="F28" s="7">
        <f>F25+F27</f>
        <v/>
      </c>
      <c r="G28" s="7">
        <f>G25+G27</f>
        <v/>
      </c>
      <c r="H28" s="7">
        <f>H25+H27</f>
        <v/>
      </c>
      <c r="I28" s="7">
        <f>I25+I27</f>
        <v/>
      </c>
      <c r="J28" s="7">
        <f>J25+J27</f>
        <v/>
      </c>
      <c r="K28" s="7">
        <f>K25+K27</f>
        <v/>
      </c>
      <c r="L28" s="7">
        <f>L25+L27</f>
        <v/>
      </c>
      <c r="M28" s="7">
        <f>M25+M27</f>
        <v/>
      </c>
      <c r="N28" s="7">
        <f>N25+N27</f>
        <v/>
      </c>
      <c r="O28" s="7">
        <f>O25+O27</f>
        <v/>
      </c>
      <c r="P28" s="7">
        <f>P25+P27</f>
        <v/>
      </c>
      <c r="Q28" s="7">
        <f>Q25+Q27</f>
        <v/>
      </c>
      <c r="R28" s="7">
        <f>R25+R27</f>
        <v/>
      </c>
      <c r="S28" s="7">
        <f>S25+S27</f>
        <v/>
      </c>
      <c r="T28" s="7">
        <f>T25+T27</f>
        <v/>
      </c>
      <c r="U28" s="7">
        <f>U25+U27</f>
        <v/>
      </c>
      <c r="V28" s="7">
        <f>V25+V27</f>
        <v/>
      </c>
      <c r="W28" s="7">
        <f>W25+W27</f>
        <v/>
      </c>
      <c r="X28" s="7">
        <f>X25+X27</f>
        <v/>
      </c>
      <c r="Y28" s="7">
        <f>Y25+Y27</f>
        <v/>
      </c>
      <c r="Z28" s="7">
        <f>Z25+Z27</f>
        <v/>
      </c>
    </row>
    <row r="29">
      <c r="A29" t="inlineStr">
        <is>
          <t>EN: שחקנים ותיקים (מחודש 2 ואילך, DAU)</t>
        </is>
      </c>
      <c r="B29" s="6" t="n"/>
      <c r="C29" s="7">
        <f>0</f>
        <v/>
      </c>
      <c r="D29" s="7">
        <f>Assumptions!$E$40*C29+C28*Assumptions!$E$39</f>
        <v/>
      </c>
      <c r="E29" s="7">
        <f>Assumptions!$E$40*D29+D28*Assumptions!$E$39</f>
        <v/>
      </c>
      <c r="F29" s="7">
        <f>Assumptions!$E$40*E29+E28*Assumptions!$E$39</f>
        <v/>
      </c>
      <c r="G29" s="7">
        <f>Assumptions!$E$40*F29+F28*Assumptions!$E$39</f>
        <v/>
      </c>
      <c r="H29" s="7">
        <f>Assumptions!$E$40*G29+G28*Assumptions!$E$39</f>
        <v/>
      </c>
      <c r="I29" s="7">
        <f>Assumptions!$E$40*H29+H28*Assumptions!$E$39</f>
        <v/>
      </c>
      <c r="J29" s="7">
        <f>Assumptions!$E$40*I29+I28*Assumptions!$E$39</f>
        <v/>
      </c>
      <c r="K29" s="7">
        <f>Assumptions!$E$40*J29+J28*Assumptions!$E$39</f>
        <v/>
      </c>
      <c r="L29" s="7">
        <f>Assumptions!$E$40*K29+K28*Assumptions!$E$39</f>
        <v/>
      </c>
      <c r="M29" s="7">
        <f>Assumptions!$E$40*L29+L28*Assumptions!$E$39</f>
        <v/>
      </c>
      <c r="N29" s="7">
        <f>Assumptions!$E$40*M29+M28*Assumptions!$E$39</f>
        <v/>
      </c>
      <c r="O29" s="7">
        <f>Assumptions!$E$40*N29+N28*Assumptions!$E$39</f>
        <v/>
      </c>
      <c r="P29" s="7">
        <f>Assumptions!$E$40*O29+O28*Assumptions!$E$39</f>
        <v/>
      </c>
      <c r="Q29" s="7">
        <f>Assumptions!$E$40*P29+P28*Assumptions!$E$39</f>
        <v/>
      </c>
      <c r="R29" s="7">
        <f>Assumptions!$E$40*Q29+Q28*Assumptions!$E$39</f>
        <v/>
      </c>
      <c r="S29" s="7">
        <f>Assumptions!$E$40*R29+R28*Assumptions!$E$39</f>
        <v/>
      </c>
      <c r="T29" s="7">
        <f>Assumptions!$E$40*S29+S28*Assumptions!$E$39</f>
        <v/>
      </c>
      <c r="U29" s="7">
        <f>Assumptions!$E$40*T29+T28*Assumptions!$E$39</f>
        <v/>
      </c>
      <c r="V29" s="7">
        <f>Assumptions!$E$40*U29+U28*Assumptions!$E$39</f>
        <v/>
      </c>
      <c r="W29" s="7">
        <f>Assumptions!$E$40*V29+V28*Assumptions!$E$39</f>
        <v/>
      </c>
      <c r="X29" s="7">
        <f>Assumptions!$E$40*W29+W28*Assumptions!$E$39</f>
        <v/>
      </c>
      <c r="Y29" s="7">
        <f>Assumptions!$E$40*X29+X28*Assumptions!$E$39</f>
        <v/>
      </c>
      <c r="Z29" s="7">
        <f>Assumptions!$E$40*Y29+Y28*Assumptions!$E$39</f>
        <v/>
      </c>
    </row>
    <row r="30">
      <c r="A30" t="inlineStr">
        <is>
          <t>EN: DAU ממוצע</t>
        </is>
      </c>
      <c r="B30" s="6" t="n"/>
      <c r="C30" s="7">
        <f>C28*((Assumptions!$E$37+Assumptions!$E$38+Assumptions!$E$39)/3)+C29</f>
        <v/>
      </c>
      <c r="D30" s="7">
        <f>D28*((Assumptions!$E$37+Assumptions!$E$38+Assumptions!$E$39)/3)+D29</f>
        <v/>
      </c>
      <c r="E30" s="7">
        <f>E28*((Assumptions!$E$37+Assumptions!$E$38+Assumptions!$E$39)/3)+E29</f>
        <v/>
      </c>
      <c r="F30" s="7">
        <f>F28*((Assumptions!$E$37+Assumptions!$E$38+Assumptions!$E$39)/3)+F29</f>
        <v/>
      </c>
      <c r="G30" s="7">
        <f>G28*((Assumptions!$E$37+Assumptions!$E$38+Assumptions!$E$39)/3)+G29</f>
        <v/>
      </c>
      <c r="H30" s="7">
        <f>H28*((Assumptions!$E$37+Assumptions!$E$38+Assumptions!$E$39)/3)+H29</f>
        <v/>
      </c>
      <c r="I30" s="7">
        <f>I28*((Assumptions!$E$37+Assumptions!$E$38+Assumptions!$E$39)/3)+I29</f>
        <v/>
      </c>
      <c r="J30" s="7">
        <f>J28*((Assumptions!$E$37+Assumptions!$E$38+Assumptions!$E$39)/3)+J29</f>
        <v/>
      </c>
      <c r="K30" s="7">
        <f>K28*((Assumptions!$E$37+Assumptions!$E$38+Assumptions!$E$39)/3)+K29</f>
        <v/>
      </c>
      <c r="L30" s="7">
        <f>L28*((Assumptions!$E$37+Assumptions!$E$38+Assumptions!$E$39)/3)+L29</f>
        <v/>
      </c>
      <c r="M30" s="7">
        <f>M28*((Assumptions!$E$37+Assumptions!$E$38+Assumptions!$E$39)/3)+M29</f>
        <v/>
      </c>
      <c r="N30" s="7">
        <f>N28*((Assumptions!$E$37+Assumptions!$E$38+Assumptions!$E$39)/3)+N29</f>
        <v/>
      </c>
      <c r="O30" s="7">
        <f>O28*((Assumptions!$E$37+Assumptions!$E$38+Assumptions!$E$39)/3)+O29</f>
        <v/>
      </c>
      <c r="P30" s="7">
        <f>P28*((Assumptions!$E$37+Assumptions!$E$38+Assumptions!$E$39)/3)+P29</f>
        <v/>
      </c>
      <c r="Q30" s="7">
        <f>Q28*((Assumptions!$E$37+Assumptions!$E$38+Assumptions!$E$39)/3)+Q29</f>
        <v/>
      </c>
      <c r="R30" s="7">
        <f>R28*((Assumptions!$E$37+Assumptions!$E$38+Assumptions!$E$39)/3)+R29</f>
        <v/>
      </c>
      <c r="S30" s="7">
        <f>S28*((Assumptions!$E$37+Assumptions!$E$38+Assumptions!$E$39)/3)+S29</f>
        <v/>
      </c>
      <c r="T30" s="7">
        <f>T28*((Assumptions!$E$37+Assumptions!$E$38+Assumptions!$E$39)/3)+T29</f>
        <v/>
      </c>
      <c r="U30" s="7">
        <f>U28*((Assumptions!$E$37+Assumptions!$E$38+Assumptions!$E$39)/3)+U29</f>
        <v/>
      </c>
      <c r="V30" s="7">
        <f>V28*((Assumptions!$E$37+Assumptions!$E$38+Assumptions!$E$39)/3)+V29</f>
        <v/>
      </c>
      <c r="W30" s="7">
        <f>W28*((Assumptions!$E$37+Assumptions!$E$38+Assumptions!$E$39)/3)+W29</f>
        <v/>
      </c>
      <c r="X30" s="7">
        <f>X28*((Assumptions!$E$37+Assumptions!$E$38+Assumptions!$E$39)/3)+X29</f>
        <v/>
      </c>
      <c r="Y30" s="7">
        <f>Y28*((Assumptions!$E$37+Assumptions!$E$38+Assumptions!$E$39)/3)+Y29</f>
        <v/>
      </c>
      <c r="Z30" s="7">
        <f>Z28*((Assumptions!$E$37+Assumptions!$E$38+Assumptions!$E$39)/3)+Z29</f>
        <v/>
      </c>
    </row>
    <row r="31">
      <c r="A31" t="inlineStr">
        <is>
          <t>EN: משחקים בחודש</t>
        </is>
      </c>
      <c r="B31" s="6">
        <f>SUM(C31:Z31)</f>
        <v/>
      </c>
      <c r="C31" s="7">
        <f>C30*Assumptions!$E$41*30</f>
        <v/>
      </c>
      <c r="D31" s="7">
        <f>D30*Assumptions!$E$41*30</f>
        <v/>
      </c>
      <c r="E31" s="7">
        <f>E30*Assumptions!$E$41*30</f>
        <v/>
      </c>
      <c r="F31" s="7">
        <f>F30*Assumptions!$E$41*30</f>
        <v/>
      </c>
      <c r="G31" s="7">
        <f>G30*Assumptions!$E$41*30</f>
        <v/>
      </c>
      <c r="H31" s="7">
        <f>H30*Assumptions!$E$41*30</f>
        <v/>
      </c>
      <c r="I31" s="7">
        <f>I30*Assumptions!$E$41*30</f>
        <v/>
      </c>
      <c r="J31" s="7">
        <f>J30*Assumptions!$E$41*30</f>
        <v/>
      </c>
      <c r="K31" s="7">
        <f>K30*Assumptions!$E$41*30</f>
        <v/>
      </c>
      <c r="L31" s="7">
        <f>L30*Assumptions!$E$41*30</f>
        <v/>
      </c>
      <c r="M31" s="7">
        <f>M30*Assumptions!$E$41*30</f>
        <v/>
      </c>
      <c r="N31" s="7">
        <f>N30*Assumptions!$E$41*30</f>
        <v/>
      </c>
      <c r="O31" s="7">
        <f>O30*Assumptions!$E$41*30</f>
        <v/>
      </c>
      <c r="P31" s="7">
        <f>P30*Assumptions!$E$41*30</f>
        <v/>
      </c>
      <c r="Q31" s="7">
        <f>Q30*Assumptions!$E$41*30</f>
        <v/>
      </c>
      <c r="R31" s="7">
        <f>R30*Assumptions!$E$41*30</f>
        <v/>
      </c>
      <c r="S31" s="7">
        <f>S30*Assumptions!$E$41*30</f>
        <v/>
      </c>
      <c r="T31" s="7">
        <f>T30*Assumptions!$E$41*30</f>
        <v/>
      </c>
      <c r="U31" s="7">
        <f>U30*Assumptions!$E$41*30</f>
        <v/>
      </c>
      <c r="V31" s="7">
        <f>V30*Assumptions!$E$41*30</f>
        <v/>
      </c>
      <c r="W31" s="7">
        <f>W30*Assumptions!$E$41*30</f>
        <v/>
      </c>
      <c r="X31" s="7">
        <f>X30*Assumptions!$E$41*30</f>
        <v/>
      </c>
      <c r="Y31" s="7">
        <f>Y30*Assumptions!$E$41*30</f>
        <v/>
      </c>
      <c r="Z31" s="7">
        <f>Z30*Assumptions!$E$41*30</f>
        <v/>
      </c>
    </row>
    <row r="32">
      <c r="A32" t="inlineStr">
        <is>
          <t>EN: חשיפות ביניים</t>
        </is>
      </c>
      <c r="B32" s="6">
        <f>SUM(C32:Z32)</f>
        <v/>
      </c>
      <c r="C32" s="7">
        <f>C31*Assumptions!$E$43*(1-Assumptions!$E$45)*(1-(Assumptions!$E$52*(Assumptions!$E$24+Assumptions!$E$26)))*Assumptions!$E$46</f>
        <v/>
      </c>
      <c r="D32" s="7">
        <f>D31*Assumptions!$E$43*(1-Assumptions!$E$45)*(1-(Assumptions!$E$52*(Assumptions!$E$24+Assumptions!$E$26)))*Assumptions!$E$46</f>
        <v/>
      </c>
      <c r="E32" s="7">
        <f>E31*Assumptions!$E$43*(1-Assumptions!$E$45)*(1-(Assumptions!$E$52*(Assumptions!$E$24+Assumptions!$E$26)))*Assumptions!$E$46</f>
        <v/>
      </c>
      <c r="F32" s="7">
        <f>F31*Assumptions!$E$43*(1-Assumptions!$E$45)*(1-(Assumptions!$E$52*(Assumptions!$E$24+Assumptions!$E$26)))*Assumptions!$E$46</f>
        <v/>
      </c>
      <c r="G32" s="7">
        <f>G31*Assumptions!$E$43*(1-Assumptions!$E$45)*(1-(Assumptions!$E$52*(Assumptions!$E$24+Assumptions!$E$26)))*Assumptions!$E$46</f>
        <v/>
      </c>
      <c r="H32" s="7">
        <f>H31*Assumptions!$E$43*(1-Assumptions!$E$45)*(1-(Assumptions!$E$52*(Assumptions!$E$24+Assumptions!$E$26)))*Assumptions!$E$46</f>
        <v/>
      </c>
      <c r="I32" s="7">
        <f>I31*Assumptions!$E$43*(1-Assumptions!$E$45)*(1-(Assumptions!$E$52*(Assumptions!$E$24+Assumptions!$E$26)))*Assumptions!$E$46</f>
        <v/>
      </c>
      <c r="J32" s="7">
        <f>J31*Assumptions!$E$43*(1-Assumptions!$E$45)*(1-(Assumptions!$E$52*(Assumptions!$E$24+Assumptions!$E$26)))*Assumptions!$E$46</f>
        <v/>
      </c>
      <c r="K32" s="7">
        <f>K31*Assumptions!$E$43*(1-Assumptions!$E$45)*(1-(Assumptions!$E$52*(Assumptions!$E$24+Assumptions!$E$26)))*Assumptions!$E$46</f>
        <v/>
      </c>
      <c r="L32" s="7">
        <f>L31*Assumptions!$E$43*(1-Assumptions!$E$45)*(1-(Assumptions!$E$52*(Assumptions!$E$24+Assumptions!$E$26)))*Assumptions!$E$46</f>
        <v/>
      </c>
      <c r="M32" s="7">
        <f>M31*Assumptions!$E$43*(1-Assumptions!$E$45)*(1-(Assumptions!$E$52*(Assumptions!$E$24+Assumptions!$E$26)))*Assumptions!$E$46</f>
        <v/>
      </c>
      <c r="N32" s="7">
        <f>N31*Assumptions!$E$43*(1-Assumptions!$E$45)*(1-(Assumptions!$E$52*(Assumptions!$E$24+Assumptions!$E$26)))*Assumptions!$E$46</f>
        <v/>
      </c>
      <c r="O32" s="7">
        <f>O31*Assumptions!$E$43*(1-Assumptions!$E$45)*(1-(Assumptions!$E$52*(Assumptions!$E$24+Assumptions!$E$26)))*Assumptions!$E$46</f>
        <v/>
      </c>
      <c r="P32" s="7">
        <f>P31*Assumptions!$E$43*(1-Assumptions!$E$45)*(1-(Assumptions!$E$52*(Assumptions!$E$24+Assumptions!$E$26)))*Assumptions!$E$46</f>
        <v/>
      </c>
      <c r="Q32" s="7">
        <f>Q31*Assumptions!$E$43*(1-Assumptions!$E$45)*(1-(Assumptions!$E$52*(Assumptions!$E$24+Assumptions!$E$26)))*Assumptions!$E$46</f>
        <v/>
      </c>
      <c r="R32" s="7">
        <f>R31*Assumptions!$E$43*(1-Assumptions!$E$45)*(1-(Assumptions!$E$52*(Assumptions!$E$24+Assumptions!$E$26)))*Assumptions!$E$46</f>
        <v/>
      </c>
      <c r="S32" s="7">
        <f>S31*Assumptions!$E$43*(1-Assumptions!$E$45)*(1-(Assumptions!$E$52*(Assumptions!$E$24+Assumptions!$E$26)))*Assumptions!$E$46</f>
        <v/>
      </c>
      <c r="T32" s="7">
        <f>T31*Assumptions!$E$43*(1-Assumptions!$E$45)*(1-(Assumptions!$E$52*(Assumptions!$E$24+Assumptions!$E$26)))*Assumptions!$E$46</f>
        <v/>
      </c>
      <c r="U32" s="7">
        <f>U31*Assumptions!$E$43*(1-Assumptions!$E$45)*(1-(Assumptions!$E$52*(Assumptions!$E$24+Assumptions!$E$26)))*Assumptions!$E$46</f>
        <v/>
      </c>
      <c r="V32" s="7">
        <f>V31*Assumptions!$E$43*(1-Assumptions!$E$45)*(1-(Assumptions!$E$52*(Assumptions!$E$24+Assumptions!$E$26)))*Assumptions!$E$46</f>
        <v/>
      </c>
      <c r="W32" s="7">
        <f>W31*Assumptions!$E$43*(1-Assumptions!$E$45)*(1-(Assumptions!$E$52*(Assumptions!$E$24+Assumptions!$E$26)))*Assumptions!$E$46</f>
        <v/>
      </c>
      <c r="X32" s="7">
        <f>X31*Assumptions!$E$43*(1-Assumptions!$E$45)*(1-(Assumptions!$E$52*(Assumptions!$E$24+Assumptions!$E$26)))*Assumptions!$E$46</f>
        <v/>
      </c>
      <c r="Y32" s="7">
        <f>Y31*Assumptions!$E$43*(1-Assumptions!$E$45)*(1-(Assumptions!$E$52*(Assumptions!$E$24+Assumptions!$E$26)))*Assumptions!$E$46</f>
        <v/>
      </c>
      <c r="Z32" s="7">
        <f>Z31*Assumptions!$E$43*(1-Assumptions!$E$45)*(1-(Assumptions!$E$52*(Assumptions!$E$24+Assumptions!$E$26)))*Assumptions!$E$46</f>
        <v/>
      </c>
    </row>
    <row r="33">
      <c r="A33" t="inlineStr">
        <is>
          <t>EN: חשיפות מתוגמלות</t>
        </is>
      </c>
      <c r="B33" s="6">
        <f>SUM(C33:Z33)</f>
        <v/>
      </c>
      <c r="C33" s="7">
        <f>C31*Assumptions!$E$44*Assumptions!$E$46</f>
        <v/>
      </c>
      <c r="D33" s="7">
        <f>D31*Assumptions!$E$44*Assumptions!$E$46</f>
        <v/>
      </c>
      <c r="E33" s="7">
        <f>E31*Assumptions!$E$44*Assumptions!$E$46</f>
        <v/>
      </c>
      <c r="F33" s="7">
        <f>F31*Assumptions!$E$44*Assumptions!$E$46</f>
        <v/>
      </c>
      <c r="G33" s="7">
        <f>G31*Assumptions!$E$44*Assumptions!$E$46</f>
        <v/>
      </c>
      <c r="H33" s="7">
        <f>H31*Assumptions!$E$44*Assumptions!$E$46</f>
        <v/>
      </c>
      <c r="I33" s="7">
        <f>I31*Assumptions!$E$44*Assumptions!$E$46</f>
        <v/>
      </c>
      <c r="J33" s="7">
        <f>J31*Assumptions!$E$44*Assumptions!$E$46</f>
        <v/>
      </c>
      <c r="K33" s="7">
        <f>K31*Assumptions!$E$44*Assumptions!$E$46</f>
        <v/>
      </c>
      <c r="L33" s="7">
        <f>L31*Assumptions!$E$44*Assumptions!$E$46</f>
        <v/>
      </c>
      <c r="M33" s="7">
        <f>M31*Assumptions!$E$44*Assumptions!$E$46</f>
        <v/>
      </c>
      <c r="N33" s="7">
        <f>N31*Assumptions!$E$44*Assumptions!$E$46</f>
        <v/>
      </c>
      <c r="O33" s="7">
        <f>O31*Assumptions!$E$44*Assumptions!$E$46</f>
        <v/>
      </c>
      <c r="P33" s="7">
        <f>P31*Assumptions!$E$44*Assumptions!$E$46</f>
        <v/>
      </c>
      <c r="Q33" s="7">
        <f>Q31*Assumptions!$E$44*Assumptions!$E$46</f>
        <v/>
      </c>
      <c r="R33" s="7">
        <f>R31*Assumptions!$E$44*Assumptions!$E$46</f>
        <v/>
      </c>
      <c r="S33" s="7">
        <f>S31*Assumptions!$E$44*Assumptions!$E$46</f>
        <v/>
      </c>
      <c r="T33" s="7">
        <f>T31*Assumptions!$E$44*Assumptions!$E$46</f>
        <v/>
      </c>
      <c r="U33" s="7">
        <f>U31*Assumptions!$E$44*Assumptions!$E$46</f>
        <v/>
      </c>
      <c r="V33" s="7">
        <f>V31*Assumptions!$E$44*Assumptions!$E$46</f>
        <v/>
      </c>
      <c r="W33" s="7">
        <f>W31*Assumptions!$E$44*Assumptions!$E$46</f>
        <v/>
      </c>
      <c r="X33" s="7">
        <f>X31*Assumptions!$E$44*Assumptions!$E$46</f>
        <v/>
      </c>
      <c r="Y33" s="7">
        <f>Y31*Assumptions!$E$44*Assumptions!$E$46</f>
        <v/>
      </c>
      <c r="Z33" s="7">
        <f>Z31*Assumptions!$E$44*Assumptions!$E$46</f>
        <v/>
      </c>
    </row>
    <row r="34">
      <c r="A34" t="inlineStr">
        <is>
          <t>EN: הכנסת פרסום ($)</t>
        </is>
      </c>
      <c r="B34" s="6">
        <f>SUM(C34:Z34)</f>
        <v/>
      </c>
      <c r="C34" s="7">
        <f>(C32*Assumptions!$E$50+C33*Assumptions!$E$49)/1000</f>
        <v/>
      </c>
      <c r="D34" s="7">
        <f>(D32*Assumptions!$E$50+D33*Assumptions!$E$49)/1000</f>
        <v/>
      </c>
      <c r="E34" s="7">
        <f>(E32*Assumptions!$E$50+E33*Assumptions!$E$49)/1000</f>
        <v/>
      </c>
      <c r="F34" s="7">
        <f>(F32*Assumptions!$E$50+F33*Assumptions!$E$49)/1000</f>
        <v/>
      </c>
      <c r="G34" s="7">
        <f>(G32*Assumptions!$E$50+G33*Assumptions!$E$49)/1000</f>
        <v/>
      </c>
      <c r="H34" s="7">
        <f>(H32*Assumptions!$E$50+H33*Assumptions!$E$49)/1000</f>
        <v/>
      </c>
      <c r="I34" s="7">
        <f>(I32*Assumptions!$E$50+I33*Assumptions!$E$49)/1000</f>
        <v/>
      </c>
      <c r="J34" s="7">
        <f>(J32*Assumptions!$E$50+J33*Assumptions!$E$49)/1000</f>
        <v/>
      </c>
      <c r="K34" s="7">
        <f>(K32*Assumptions!$E$50+K33*Assumptions!$E$49)/1000</f>
        <v/>
      </c>
      <c r="L34" s="7">
        <f>(L32*Assumptions!$E$50+L33*Assumptions!$E$49)/1000</f>
        <v/>
      </c>
      <c r="M34" s="7">
        <f>(M32*Assumptions!$E$50+M33*Assumptions!$E$49)/1000</f>
        <v/>
      </c>
      <c r="N34" s="7">
        <f>(N32*Assumptions!$E$50+N33*Assumptions!$E$49)/1000</f>
        <v/>
      </c>
      <c r="O34" s="7">
        <f>(O32*Assumptions!$E$50+O33*Assumptions!$E$49)/1000</f>
        <v/>
      </c>
      <c r="P34" s="7">
        <f>(P32*Assumptions!$E$50+P33*Assumptions!$E$49)/1000</f>
        <v/>
      </c>
      <c r="Q34" s="7">
        <f>(Q32*Assumptions!$E$50+Q33*Assumptions!$E$49)/1000</f>
        <v/>
      </c>
      <c r="R34" s="7">
        <f>(R32*Assumptions!$E$50+R33*Assumptions!$E$49)/1000</f>
        <v/>
      </c>
      <c r="S34" s="7">
        <f>(S32*Assumptions!$E$50+S33*Assumptions!$E$49)/1000</f>
        <v/>
      </c>
      <c r="T34" s="7">
        <f>(T32*Assumptions!$E$50+T33*Assumptions!$E$49)/1000</f>
        <v/>
      </c>
      <c r="U34" s="7">
        <f>(U32*Assumptions!$E$50+U33*Assumptions!$E$49)/1000</f>
        <v/>
      </c>
      <c r="V34" s="7">
        <f>(V32*Assumptions!$E$50+V33*Assumptions!$E$49)/1000</f>
        <v/>
      </c>
      <c r="W34" s="7">
        <f>(W32*Assumptions!$E$50+W33*Assumptions!$E$49)/1000</f>
        <v/>
      </c>
      <c r="X34" s="7">
        <f>(X32*Assumptions!$E$50+X33*Assumptions!$E$49)/1000</f>
        <v/>
      </c>
      <c r="Y34" s="7">
        <f>(Y32*Assumptions!$E$50+Y33*Assumptions!$E$49)/1000</f>
        <v/>
      </c>
      <c r="Z34" s="7">
        <f>(Z32*Assumptions!$E$50+Z33*Assumptions!$E$49)/1000</f>
        <v/>
      </c>
    </row>
    <row r="35">
      <c r="A35" t="inlineStr">
        <is>
          <t>EN: הכנסת פרסום (₪)</t>
        </is>
      </c>
      <c r="B35" s="6">
        <f>SUM(C35:Z35)</f>
        <v/>
      </c>
      <c r="C35" s="7">
        <f>C34*Assumptions!$E$22</f>
        <v/>
      </c>
      <c r="D35" s="7">
        <f>D34*Assumptions!$E$22</f>
        <v/>
      </c>
      <c r="E35" s="7">
        <f>E34*Assumptions!$E$22</f>
        <v/>
      </c>
      <c r="F35" s="7">
        <f>F34*Assumptions!$E$22</f>
        <v/>
      </c>
      <c r="G35" s="7">
        <f>G34*Assumptions!$E$22</f>
        <v/>
      </c>
      <c r="H35" s="7">
        <f>H34*Assumptions!$E$22</f>
        <v/>
      </c>
      <c r="I35" s="7">
        <f>I34*Assumptions!$E$22</f>
        <v/>
      </c>
      <c r="J35" s="7">
        <f>J34*Assumptions!$E$22</f>
        <v/>
      </c>
      <c r="K35" s="7">
        <f>K34*Assumptions!$E$22</f>
        <v/>
      </c>
      <c r="L35" s="7">
        <f>L34*Assumptions!$E$22</f>
        <v/>
      </c>
      <c r="M35" s="7">
        <f>M34*Assumptions!$E$22</f>
        <v/>
      </c>
      <c r="N35" s="7">
        <f>N34*Assumptions!$E$22</f>
        <v/>
      </c>
      <c r="O35" s="7">
        <f>O34*Assumptions!$E$22</f>
        <v/>
      </c>
      <c r="P35" s="7">
        <f>P34*Assumptions!$E$22</f>
        <v/>
      </c>
      <c r="Q35" s="7">
        <f>Q34*Assumptions!$E$22</f>
        <v/>
      </c>
      <c r="R35" s="7">
        <f>R34*Assumptions!$E$22</f>
        <v/>
      </c>
      <c r="S35" s="7">
        <f>S34*Assumptions!$E$22</f>
        <v/>
      </c>
      <c r="T35" s="7">
        <f>T34*Assumptions!$E$22</f>
        <v/>
      </c>
      <c r="U35" s="7">
        <f>U34*Assumptions!$E$22</f>
        <v/>
      </c>
      <c r="V35" s="7">
        <f>V34*Assumptions!$E$22</f>
        <v/>
      </c>
      <c r="W35" s="7">
        <f>W34*Assumptions!$E$22</f>
        <v/>
      </c>
      <c r="X35" s="7">
        <f>X34*Assumptions!$E$22</f>
        <v/>
      </c>
      <c r="Y35" s="7">
        <f>Y34*Assumptions!$E$22</f>
        <v/>
      </c>
      <c r="Z35" s="7">
        <f>Z34*Assumptions!$E$22</f>
        <v/>
      </c>
    </row>
    <row r="36">
      <c r="A36" t="inlineStr">
        <is>
          <t>EN: רוכשי IAP</t>
        </is>
      </c>
      <c r="B36" s="6">
        <f>SUM(C36:Z36)</f>
        <v/>
      </c>
      <c r="C36" s="7">
        <f>C28*Assumptions!$E$52</f>
        <v/>
      </c>
      <c r="D36" s="7">
        <f>D28*Assumptions!$E$52</f>
        <v/>
      </c>
      <c r="E36" s="7">
        <f>E28*Assumptions!$E$52</f>
        <v/>
      </c>
      <c r="F36" s="7">
        <f>F28*Assumptions!$E$52</f>
        <v/>
      </c>
      <c r="G36" s="7">
        <f>G28*Assumptions!$E$52</f>
        <v/>
      </c>
      <c r="H36" s="7">
        <f>H28*Assumptions!$E$52</f>
        <v/>
      </c>
      <c r="I36" s="7">
        <f>I28*Assumptions!$E$52</f>
        <v/>
      </c>
      <c r="J36" s="7">
        <f>J28*Assumptions!$E$52</f>
        <v/>
      </c>
      <c r="K36" s="7">
        <f>K28*Assumptions!$E$52</f>
        <v/>
      </c>
      <c r="L36" s="7">
        <f>L28*Assumptions!$E$52</f>
        <v/>
      </c>
      <c r="M36" s="7">
        <f>M28*Assumptions!$E$52</f>
        <v/>
      </c>
      <c r="N36" s="7">
        <f>N28*Assumptions!$E$52</f>
        <v/>
      </c>
      <c r="O36" s="7">
        <f>O28*Assumptions!$E$52</f>
        <v/>
      </c>
      <c r="P36" s="7">
        <f>P28*Assumptions!$E$52</f>
        <v/>
      </c>
      <c r="Q36" s="7">
        <f>Q28*Assumptions!$E$52</f>
        <v/>
      </c>
      <c r="R36" s="7">
        <f>R28*Assumptions!$E$52</f>
        <v/>
      </c>
      <c r="S36" s="7">
        <f>S28*Assumptions!$E$52</f>
        <v/>
      </c>
      <c r="T36" s="7">
        <f>T28*Assumptions!$E$52</f>
        <v/>
      </c>
      <c r="U36" s="7">
        <f>U28*Assumptions!$E$52</f>
        <v/>
      </c>
      <c r="V36" s="7">
        <f>V28*Assumptions!$E$52</f>
        <v/>
      </c>
      <c r="W36" s="7">
        <f>W28*Assumptions!$E$52</f>
        <v/>
      </c>
      <c r="X36" s="7">
        <f>X28*Assumptions!$E$52</f>
        <v/>
      </c>
      <c r="Y36" s="7">
        <f>Y28*Assumptions!$E$52</f>
        <v/>
      </c>
      <c r="Z36" s="7">
        <f>Z28*Assumptions!$E$52</f>
        <v/>
      </c>
    </row>
    <row r="37">
      <c r="A37" t="inlineStr">
        <is>
          <t>EN: IAP ברוטו (₪, מחיר צרכן)</t>
        </is>
      </c>
      <c r="B37" s="6">
        <f>SUM(C37:Z37)</f>
        <v/>
      </c>
      <c r="C37" s="7">
        <f>C36*(Assumptions!$E$24*Assumptions!$E$12+Assumptions!$E$25*Assumptions!$E$13+Assumptions!$E$26*Assumptions!$E$14)*Assumptions!$E$22</f>
        <v/>
      </c>
      <c r="D37" s="7">
        <f>D36*(Assumptions!$E$24*Assumptions!$E$12+Assumptions!$E$25*Assumptions!$E$13+Assumptions!$E$26*Assumptions!$E$14)*Assumptions!$E$22</f>
        <v/>
      </c>
      <c r="E37" s="7">
        <f>E36*(Assumptions!$E$24*Assumptions!$E$12+Assumptions!$E$25*Assumptions!$E$13+Assumptions!$E$26*Assumptions!$E$14)*Assumptions!$E$22</f>
        <v/>
      </c>
      <c r="F37" s="7">
        <f>F36*(Assumptions!$E$24*Assumptions!$E$12+Assumptions!$E$25*Assumptions!$E$13+Assumptions!$E$26*Assumptions!$E$14)*Assumptions!$E$22</f>
        <v/>
      </c>
      <c r="G37" s="7">
        <f>G36*(Assumptions!$E$24*Assumptions!$E$12+Assumptions!$E$25*Assumptions!$E$13+Assumptions!$E$26*Assumptions!$E$14)*Assumptions!$E$22</f>
        <v/>
      </c>
      <c r="H37" s="7">
        <f>H36*(Assumptions!$E$24*Assumptions!$E$12+Assumptions!$E$25*Assumptions!$E$13+Assumptions!$E$26*Assumptions!$E$14)*Assumptions!$E$22</f>
        <v/>
      </c>
      <c r="I37" s="7">
        <f>I36*(Assumptions!$E$24*Assumptions!$E$12+Assumptions!$E$25*Assumptions!$E$13+Assumptions!$E$26*Assumptions!$E$14)*Assumptions!$E$22</f>
        <v/>
      </c>
      <c r="J37" s="7">
        <f>J36*(Assumptions!$E$24*Assumptions!$E$12+Assumptions!$E$25*Assumptions!$E$13+Assumptions!$E$26*Assumptions!$E$14)*Assumptions!$E$22</f>
        <v/>
      </c>
      <c r="K37" s="7">
        <f>K36*(Assumptions!$E$24*Assumptions!$E$12+Assumptions!$E$25*Assumptions!$E$13+Assumptions!$E$26*Assumptions!$E$14)*Assumptions!$E$22</f>
        <v/>
      </c>
      <c r="L37" s="7">
        <f>L36*(Assumptions!$E$24*Assumptions!$E$12+Assumptions!$E$25*Assumptions!$E$13+Assumptions!$E$26*Assumptions!$E$14)*Assumptions!$E$22</f>
        <v/>
      </c>
      <c r="M37" s="7">
        <f>M36*(Assumptions!$E$24*Assumptions!$E$12+Assumptions!$E$25*Assumptions!$E$13+Assumptions!$E$26*Assumptions!$E$14)*Assumptions!$E$22</f>
        <v/>
      </c>
      <c r="N37" s="7">
        <f>N36*(Assumptions!$E$24*Assumptions!$E$12+Assumptions!$E$25*Assumptions!$E$13+Assumptions!$E$26*Assumptions!$E$14)*Assumptions!$E$22</f>
        <v/>
      </c>
      <c r="O37" s="7">
        <f>O36*(Assumptions!$E$24*Assumptions!$E$12+Assumptions!$E$25*Assumptions!$E$13+Assumptions!$E$26*Assumptions!$E$14)*Assumptions!$E$22</f>
        <v/>
      </c>
      <c r="P37" s="7">
        <f>P36*(Assumptions!$E$24*Assumptions!$E$12+Assumptions!$E$25*Assumptions!$E$13+Assumptions!$E$26*Assumptions!$E$14)*Assumptions!$E$22</f>
        <v/>
      </c>
      <c r="Q37" s="7">
        <f>Q36*(Assumptions!$E$24*Assumptions!$E$12+Assumptions!$E$25*Assumptions!$E$13+Assumptions!$E$26*Assumptions!$E$14)*Assumptions!$E$22</f>
        <v/>
      </c>
      <c r="R37" s="7">
        <f>R36*(Assumptions!$E$24*Assumptions!$E$12+Assumptions!$E$25*Assumptions!$E$13+Assumptions!$E$26*Assumptions!$E$14)*Assumptions!$E$22</f>
        <v/>
      </c>
      <c r="S37" s="7">
        <f>S36*(Assumptions!$E$24*Assumptions!$E$12+Assumptions!$E$25*Assumptions!$E$13+Assumptions!$E$26*Assumptions!$E$14)*Assumptions!$E$22</f>
        <v/>
      </c>
      <c r="T37" s="7">
        <f>T36*(Assumptions!$E$24*Assumptions!$E$12+Assumptions!$E$25*Assumptions!$E$13+Assumptions!$E$26*Assumptions!$E$14)*Assumptions!$E$22</f>
        <v/>
      </c>
      <c r="U37" s="7">
        <f>U36*(Assumptions!$E$24*Assumptions!$E$12+Assumptions!$E$25*Assumptions!$E$13+Assumptions!$E$26*Assumptions!$E$14)*Assumptions!$E$22</f>
        <v/>
      </c>
      <c r="V37" s="7">
        <f>V36*(Assumptions!$E$24*Assumptions!$E$12+Assumptions!$E$25*Assumptions!$E$13+Assumptions!$E$26*Assumptions!$E$14)*Assumptions!$E$22</f>
        <v/>
      </c>
      <c r="W37" s="7">
        <f>W36*(Assumptions!$E$24*Assumptions!$E$12+Assumptions!$E$25*Assumptions!$E$13+Assumptions!$E$26*Assumptions!$E$14)*Assumptions!$E$22</f>
        <v/>
      </c>
      <c r="X37" s="7">
        <f>X36*(Assumptions!$E$24*Assumptions!$E$12+Assumptions!$E$25*Assumptions!$E$13+Assumptions!$E$26*Assumptions!$E$14)*Assumptions!$E$22</f>
        <v/>
      </c>
      <c r="Y37" s="7">
        <f>Y36*(Assumptions!$E$24*Assumptions!$E$12+Assumptions!$E$25*Assumptions!$E$13+Assumptions!$E$26*Assumptions!$E$14)*Assumptions!$E$22</f>
        <v/>
      </c>
      <c r="Z37" s="7">
        <f>Z36*(Assumptions!$E$24*Assumptions!$E$12+Assumptions!$E$25*Assumptions!$E$13+Assumptions!$E$26*Assumptions!$E$14)*Assumptions!$E$22</f>
        <v/>
      </c>
    </row>
    <row r="38">
      <c r="A38" t="inlineStr">
        <is>
          <t>EN: IAP נטו אחרי מסים ועמלת חנות (₪)</t>
        </is>
      </c>
      <c r="B38" s="6">
        <f>SUM(C38:Z38)</f>
        <v/>
      </c>
      <c r="C38" s="7">
        <f>C37*(1-Assumptions!$E$21)*(1-Assumptions!$E$19)</f>
        <v/>
      </c>
      <c r="D38" s="7">
        <f>D37*(1-Assumptions!$E$21)*(1-Assumptions!$E$19)</f>
        <v/>
      </c>
      <c r="E38" s="7">
        <f>E37*(1-Assumptions!$E$21)*(1-Assumptions!$E$19)</f>
        <v/>
      </c>
      <c r="F38" s="7">
        <f>F37*(1-Assumptions!$E$21)*(1-Assumptions!$E$19)</f>
        <v/>
      </c>
      <c r="G38" s="7">
        <f>G37*(1-Assumptions!$E$21)*(1-Assumptions!$E$19)</f>
        <v/>
      </c>
      <c r="H38" s="7">
        <f>H37*(1-Assumptions!$E$21)*(1-Assumptions!$E$19)</f>
        <v/>
      </c>
      <c r="I38" s="7">
        <f>I37*(1-Assumptions!$E$21)*(1-Assumptions!$E$19)</f>
        <v/>
      </c>
      <c r="J38" s="7">
        <f>J37*(1-Assumptions!$E$21)*(1-Assumptions!$E$19)</f>
        <v/>
      </c>
      <c r="K38" s="7">
        <f>K37*(1-Assumptions!$E$21)*(1-Assumptions!$E$19)</f>
        <v/>
      </c>
      <c r="L38" s="7">
        <f>L37*(1-Assumptions!$E$21)*(1-Assumptions!$E$19)</f>
        <v/>
      </c>
      <c r="M38" s="7">
        <f>M37*(1-Assumptions!$E$21)*(1-Assumptions!$E$19)</f>
        <v/>
      </c>
      <c r="N38" s="7">
        <f>N37*(1-Assumptions!$E$21)*(1-Assumptions!$E$19)</f>
        <v/>
      </c>
      <c r="O38" s="7">
        <f>O37*(1-Assumptions!$E$21)*(1-Assumptions!$E$19)</f>
        <v/>
      </c>
      <c r="P38" s="7">
        <f>P37*(1-Assumptions!$E$21)*(1-Assumptions!$E$19)</f>
        <v/>
      </c>
      <c r="Q38" s="7">
        <f>Q37*(1-Assumptions!$E$21)*(1-Assumptions!$E$19)</f>
        <v/>
      </c>
      <c r="R38" s="7">
        <f>R37*(1-Assumptions!$E$21)*(1-Assumptions!$E$19)</f>
        <v/>
      </c>
      <c r="S38" s="7">
        <f>S37*(1-Assumptions!$E$21)*(1-Assumptions!$E$19)</f>
        <v/>
      </c>
      <c r="T38" s="7">
        <f>T37*(1-Assumptions!$E$21)*(1-Assumptions!$E$19)</f>
        <v/>
      </c>
      <c r="U38" s="7">
        <f>U37*(1-Assumptions!$E$21)*(1-Assumptions!$E$19)</f>
        <v/>
      </c>
      <c r="V38" s="7">
        <f>V37*(1-Assumptions!$E$21)*(1-Assumptions!$E$19)</f>
        <v/>
      </c>
      <c r="W38" s="7">
        <f>W37*(1-Assumptions!$E$21)*(1-Assumptions!$E$19)</f>
        <v/>
      </c>
      <c r="X38" s="7">
        <f>X37*(1-Assumptions!$E$21)*(1-Assumptions!$E$19)</f>
        <v/>
      </c>
      <c r="Y38" s="7">
        <f>Y37*(1-Assumptions!$E$21)*(1-Assumptions!$E$19)</f>
        <v/>
      </c>
      <c r="Z38" s="7">
        <f>Z37*(1-Assumptions!$E$21)*(1-Assumptions!$E$19)</f>
        <v/>
      </c>
    </row>
    <row r="40">
      <c r="A40" s="1" t="inlineStr">
        <is>
          <t>-- סיכום --</t>
        </is>
      </c>
    </row>
    <row r="41">
      <c r="A41" t="inlineStr">
        <is>
          <t>הכנסות - עברית בלבד (פרסום + IAP נטו + B2B)</t>
        </is>
      </c>
      <c r="B41" s="6">
        <f>SUM(C41:Z41)</f>
        <v/>
      </c>
      <c r="C41" s="7">
        <f>C15+C18+C22</f>
        <v/>
      </c>
      <c r="D41" s="7">
        <f>D15+D18+D22</f>
        <v/>
      </c>
      <c r="E41" s="7">
        <f>E15+E18+E22</f>
        <v/>
      </c>
      <c r="F41" s="7">
        <f>F15+F18+F22</f>
        <v/>
      </c>
      <c r="G41" s="7">
        <f>G15+G18+G22</f>
        <v/>
      </c>
      <c r="H41" s="7">
        <f>H15+H18+H22</f>
        <v/>
      </c>
      <c r="I41" s="7">
        <f>I15+I18+I22</f>
        <v/>
      </c>
      <c r="J41" s="7">
        <f>J15+J18+J22</f>
        <v/>
      </c>
      <c r="K41" s="7">
        <f>K15+K18+K22</f>
        <v/>
      </c>
      <c r="L41" s="7">
        <f>L15+L18+L22</f>
        <v/>
      </c>
      <c r="M41" s="7">
        <f>M15+M18+M22</f>
        <v/>
      </c>
      <c r="N41" s="7">
        <f>N15+N18+N22</f>
        <v/>
      </c>
      <c r="O41" s="7">
        <f>O15+O18+O22</f>
        <v/>
      </c>
      <c r="P41" s="7">
        <f>P15+P18+P22</f>
        <v/>
      </c>
      <c r="Q41" s="7">
        <f>Q15+Q18+Q22</f>
        <v/>
      </c>
      <c r="R41" s="7">
        <f>R15+R18+R22</f>
        <v/>
      </c>
      <c r="S41" s="7">
        <f>S15+S18+S22</f>
        <v/>
      </c>
      <c r="T41" s="7">
        <f>T15+T18+T22</f>
        <v/>
      </c>
      <c r="U41" s="7">
        <f>U15+U18+U22</f>
        <v/>
      </c>
      <c r="V41" s="7">
        <f>V15+V18+V22</f>
        <v/>
      </c>
      <c r="W41" s="7">
        <f>W15+W18+W22</f>
        <v/>
      </c>
      <c r="X41" s="7">
        <f>X15+X18+X22</f>
        <v/>
      </c>
      <c r="Y41" s="7">
        <f>Y15+Y18+Y22</f>
        <v/>
      </c>
      <c r="Z41" s="7">
        <f>Z15+Z18+Z22</f>
        <v/>
      </c>
    </row>
    <row r="42">
      <c r="A42" t="inlineStr">
        <is>
          <t>הכנסות שוק אנגלי (פרסום + IAP נטו)</t>
        </is>
      </c>
      <c r="B42" s="6">
        <f>SUM(C42:Z42)</f>
        <v/>
      </c>
      <c r="C42" s="7">
        <f>C35+C38</f>
        <v/>
      </c>
      <c r="D42" s="7">
        <f>D35+D38</f>
        <v/>
      </c>
      <c r="E42" s="7">
        <f>E35+E38</f>
        <v/>
      </c>
      <c r="F42" s="7">
        <f>F35+F38</f>
        <v/>
      </c>
      <c r="G42" s="7">
        <f>G35+G38</f>
        <v/>
      </c>
      <c r="H42" s="7">
        <f>H35+H38</f>
        <v/>
      </c>
      <c r="I42" s="7">
        <f>I35+I38</f>
        <v/>
      </c>
      <c r="J42" s="7">
        <f>J35+J38</f>
        <v/>
      </c>
      <c r="K42" s="7">
        <f>K35+K38</f>
        <v/>
      </c>
      <c r="L42" s="7">
        <f>L35+L38</f>
        <v/>
      </c>
      <c r="M42" s="7">
        <f>M35+M38</f>
        <v/>
      </c>
      <c r="N42" s="7">
        <f>N35+N38</f>
        <v/>
      </c>
      <c r="O42" s="7">
        <f>O35+O38</f>
        <v/>
      </c>
      <c r="P42" s="7">
        <f>P35+P38</f>
        <v/>
      </c>
      <c r="Q42" s="7">
        <f>Q35+Q38</f>
        <v/>
      </c>
      <c r="R42" s="7">
        <f>R35+R38</f>
        <v/>
      </c>
      <c r="S42" s="7">
        <f>S35+S38</f>
        <v/>
      </c>
      <c r="T42" s="7">
        <f>T35+T38</f>
        <v/>
      </c>
      <c r="U42" s="7">
        <f>U35+U38</f>
        <v/>
      </c>
      <c r="V42" s="7">
        <f>V35+V38</f>
        <v/>
      </c>
      <c r="W42" s="7">
        <f>W35+W38</f>
        <v/>
      </c>
      <c r="X42" s="7">
        <f>X35+X38</f>
        <v/>
      </c>
      <c r="Y42" s="7">
        <f>Y35+Y38</f>
        <v/>
      </c>
      <c r="Z42" s="7">
        <f>Z35+Z38</f>
        <v/>
      </c>
    </row>
    <row r="43">
      <c r="A43" t="inlineStr">
        <is>
          <t>הכנסות - עברית+אנגלית</t>
        </is>
      </c>
      <c r="B43" s="6">
        <f>SUM(C43:Z43)</f>
        <v/>
      </c>
      <c r="C43" s="7">
        <f>C41+C42</f>
        <v/>
      </c>
      <c r="D43" s="7">
        <f>D41+D42</f>
        <v/>
      </c>
      <c r="E43" s="7">
        <f>E41+E42</f>
        <v/>
      </c>
      <c r="F43" s="7">
        <f>F41+F42</f>
        <v/>
      </c>
      <c r="G43" s="7">
        <f>G41+G42</f>
        <v/>
      </c>
      <c r="H43" s="7">
        <f>H41+H42</f>
        <v/>
      </c>
      <c r="I43" s="7">
        <f>I41+I42</f>
        <v/>
      </c>
      <c r="J43" s="7">
        <f>J41+J42</f>
        <v/>
      </c>
      <c r="K43" s="7">
        <f>K41+K42</f>
        <v/>
      </c>
      <c r="L43" s="7">
        <f>L41+L42</f>
        <v/>
      </c>
      <c r="M43" s="7">
        <f>M41+M42</f>
        <v/>
      </c>
      <c r="N43" s="7">
        <f>N41+N42</f>
        <v/>
      </c>
      <c r="O43" s="7">
        <f>O41+O42</f>
        <v/>
      </c>
      <c r="P43" s="7">
        <f>P41+P42</f>
        <v/>
      </c>
      <c r="Q43" s="7">
        <f>Q41+Q42</f>
        <v/>
      </c>
      <c r="R43" s="7">
        <f>R41+R42</f>
        <v/>
      </c>
      <c r="S43" s="7">
        <f>S41+S42</f>
        <v/>
      </c>
      <c r="T43" s="7">
        <f>T41+T42</f>
        <v/>
      </c>
      <c r="U43" s="7">
        <f>U41+U42</f>
        <v/>
      </c>
      <c r="V43" s="7">
        <f>V41+V42</f>
        <v/>
      </c>
      <c r="W43" s="7">
        <f>W41+W42</f>
        <v/>
      </c>
      <c r="X43" s="7">
        <f>X41+X42</f>
        <v/>
      </c>
      <c r="Y43" s="7">
        <f>Y41+Y42</f>
        <v/>
      </c>
      <c r="Z43" s="7">
        <f>Z41+Z42</f>
        <v/>
      </c>
    </row>
    <row r="44">
      <c r="A44" t="inlineStr">
        <is>
          <t>עלויות מזומן - עברית בלבד (קבועות + פרסום בתשלום)</t>
        </is>
      </c>
      <c r="B44" s="6">
        <f>SUM(C44:Z44)</f>
        <v/>
      </c>
      <c r="C44" s="7">
        <f>Costs!C11+C6</f>
        <v/>
      </c>
      <c r="D44" s="7">
        <f>Costs!D11+D6</f>
        <v/>
      </c>
      <c r="E44" s="7">
        <f>Costs!E11+E6</f>
        <v/>
      </c>
      <c r="F44" s="7">
        <f>Costs!F11+F6</f>
        <v/>
      </c>
      <c r="G44" s="7">
        <f>Costs!G11+G6</f>
        <v/>
      </c>
      <c r="H44" s="7">
        <f>Costs!H11+H6</f>
        <v/>
      </c>
      <c r="I44" s="7">
        <f>Costs!I11+I6</f>
        <v/>
      </c>
      <c r="J44" s="7">
        <f>Costs!J11+J6</f>
        <v/>
      </c>
      <c r="K44" s="7">
        <f>Costs!K11+K6</f>
        <v/>
      </c>
      <c r="L44" s="7">
        <f>Costs!L11+L6</f>
        <v/>
      </c>
      <c r="M44" s="7">
        <f>Costs!M11+M6</f>
        <v/>
      </c>
      <c r="N44" s="7">
        <f>Costs!N11+N6</f>
        <v/>
      </c>
      <c r="O44" s="7">
        <f>Costs!O11+O6</f>
        <v/>
      </c>
      <c r="P44" s="7">
        <f>Costs!P11+P6</f>
        <v/>
      </c>
      <c r="Q44" s="7">
        <f>Costs!Q11+Q6</f>
        <v/>
      </c>
      <c r="R44" s="7">
        <f>Costs!R11+R6</f>
        <v/>
      </c>
      <c r="S44" s="7">
        <f>Costs!S11+S6</f>
        <v/>
      </c>
      <c r="T44" s="7">
        <f>Costs!T11+T6</f>
        <v/>
      </c>
      <c r="U44" s="7">
        <f>Costs!U11+U6</f>
        <v/>
      </c>
      <c r="V44" s="7">
        <f>Costs!V11+V6</f>
        <v/>
      </c>
      <c r="W44" s="7">
        <f>Costs!W11+W6</f>
        <v/>
      </c>
      <c r="X44" s="7">
        <f>Costs!X11+X6</f>
        <v/>
      </c>
      <c r="Y44" s="7">
        <f>Costs!Y11+Y6</f>
        <v/>
      </c>
      <c r="Z44" s="7">
        <f>Costs!Z11+Z6</f>
        <v/>
      </c>
    </row>
    <row r="45">
      <c r="A45" t="inlineStr">
        <is>
          <t>עלויות מזומן - עברית+אנגלית (כולל תרגום)</t>
        </is>
      </c>
      <c r="B45" s="6">
        <f>SUM(C45:Z45)</f>
        <v/>
      </c>
      <c r="C45" s="7">
        <f>C44+Costs!C12</f>
        <v/>
      </c>
      <c r="D45" s="7">
        <f>D44+Costs!D12</f>
        <v/>
      </c>
      <c r="E45" s="7">
        <f>E44+Costs!E12</f>
        <v/>
      </c>
      <c r="F45" s="7">
        <f>F44+Costs!F12</f>
        <v/>
      </c>
      <c r="G45" s="7">
        <f>G44+Costs!G12</f>
        <v/>
      </c>
      <c r="H45" s="7">
        <f>H44+Costs!H12</f>
        <v/>
      </c>
      <c r="I45" s="7">
        <f>I44+Costs!I12</f>
        <v/>
      </c>
      <c r="J45" s="7">
        <f>J44+Costs!J12</f>
        <v/>
      </c>
      <c r="K45" s="7">
        <f>K44+Costs!K12</f>
        <v/>
      </c>
      <c r="L45" s="7">
        <f>L44+Costs!L12</f>
        <v/>
      </c>
      <c r="M45" s="7">
        <f>M44+Costs!M12</f>
        <v/>
      </c>
      <c r="N45" s="7">
        <f>N44+Costs!N12</f>
        <v/>
      </c>
      <c r="O45" s="7">
        <f>O44+Costs!O12</f>
        <v/>
      </c>
      <c r="P45" s="7">
        <f>P44+Costs!P12</f>
        <v/>
      </c>
      <c r="Q45" s="7">
        <f>Q44+Costs!Q12</f>
        <v/>
      </c>
      <c r="R45" s="7">
        <f>R44+Costs!R12</f>
        <v/>
      </c>
      <c r="S45" s="7">
        <f>S44+Costs!S12</f>
        <v/>
      </c>
      <c r="T45" s="7">
        <f>T44+Costs!T12</f>
        <v/>
      </c>
      <c r="U45" s="7">
        <f>U44+Costs!U12</f>
        <v/>
      </c>
      <c r="V45" s="7">
        <f>V44+Costs!V12</f>
        <v/>
      </c>
      <c r="W45" s="7">
        <f>W44+Costs!W12</f>
        <v/>
      </c>
      <c r="X45" s="7">
        <f>X44+Costs!X12</f>
        <v/>
      </c>
      <c r="Y45" s="7">
        <f>Y44+Costs!Y12</f>
        <v/>
      </c>
      <c r="Z45" s="7">
        <f>Z44+Costs!Z12</f>
        <v/>
      </c>
    </row>
    <row r="46">
      <c r="A46" t="inlineStr">
        <is>
          <t>נטו חודשי - עברית בלבד</t>
        </is>
      </c>
      <c r="B46" s="6">
        <f>SUM(C46:Z46)</f>
        <v/>
      </c>
      <c r="C46" s="7">
        <f>C41-C44</f>
        <v/>
      </c>
      <c r="D46" s="7">
        <f>D41-D44</f>
        <v/>
      </c>
      <c r="E46" s="7">
        <f>E41-E44</f>
        <v/>
      </c>
      <c r="F46" s="7">
        <f>F41-F44</f>
        <v/>
      </c>
      <c r="G46" s="7">
        <f>G41-G44</f>
        <v/>
      </c>
      <c r="H46" s="7">
        <f>H41-H44</f>
        <v/>
      </c>
      <c r="I46" s="7">
        <f>I41-I44</f>
        <v/>
      </c>
      <c r="J46" s="7">
        <f>J41-J44</f>
        <v/>
      </c>
      <c r="K46" s="7">
        <f>K41-K44</f>
        <v/>
      </c>
      <c r="L46" s="7">
        <f>L41-L44</f>
        <v/>
      </c>
      <c r="M46" s="7">
        <f>M41-M44</f>
        <v/>
      </c>
      <c r="N46" s="7">
        <f>N41-N44</f>
        <v/>
      </c>
      <c r="O46" s="7">
        <f>O41-O44</f>
        <v/>
      </c>
      <c r="P46" s="7">
        <f>P41-P44</f>
        <v/>
      </c>
      <c r="Q46" s="7">
        <f>Q41-Q44</f>
        <v/>
      </c>
      <c r="R46" s="7">
        <f>R41-R44</f>
        <v/>
      </c>
      <c r="S46" s="7">
        <f>S41-S44</f>
        <v/>
      </c>
      <c r="T46" s="7">
        <f>T41-T44</f>
        <v/>
      </c>
      <c r="U46" s="7">
        <f>U41-U44</f>
        <v/>
      </c>
      <c r="V46" s="7">
        <f>V41-V44</f>
        <v/>
      </c>
      <c r="W46" s="7">
        <f>W41-W44</f>
        <v/>
      </c>
      <c r="X46" s="7">
        <f>X41-X44</f>
        <v/>
      </c>
      <c r="Y46" s="7">
        <f>Y41-Y44</f>
        <v/>
      </c>
      <c r="Z46" s="7">
        <f>Z41-Z44</f>
        <v/>
      </c>
    </row>
    <row r="47">
      <c r="A47" t="inlineStr">
        <is>
          <t>נטו חודשי - עברית+אנגלית</t>
        </is>
      </c>
      <c r="B47" s="6">
        <f>SUM(C47:Z47)</f>
        <v/>
      </c>
      <c r="C47" s="7">
        <f>C43-C45</f>
        <v/>
      </c>
      <c r="D47" s="7">
        <f>D43-D45</f>
        <v/>
      </c>
      <c r="E47" s="7">
        <f>E43-E45</f>
        <v/>
      </c>
      <c r="F47" s="7">
        <f>F43-F45</f>
        <v/>
      </c>
      <c r="G47" s="7">
        <f>G43-G45</f>
        <v/>
      </c>
      <c r="H47" s="7">
        <f>H43-H45</f>
        <v/>
      </c>
      <c r="I47" s="7">
        <f>I43-I45</f>
        <v/>
      </c>
      <c r="J47" s="7">
        <f>J43-J45</f>
        <v/>
      </c>
      <c r="K47" s="7">
        <f>K43-K45</f>
        <v/>
      </c>
      <c r="L47" s="7">
        <f>L43-L45</f>
        <v/>
      </c>
      <c r="M47" s="7">
        <f>M43-M45</f>
        <v/>
      </c>
      <c r="N47" s="7">
        <f>N43-N45</f>
        <v/>
      </c>
      <c r="O47" s="7">
        <f>O43-O45</f>
        <v/>
      </c>
      <c r="P47" s="7">
        <f>P43-P45</f>
        <v/>
      </c>
      <c r="Q47" s="7">
        <f>Q43-Q45</f>
        <v/>
      </c>
      <c r="R47" s="7">
        <f>R43-R45</f>
        <v/>
      </c>
      <c r="S47" s="7">
        <f>S43-S45</f>
        <v/>
      </c>
      <c r="T47" s="7">
        <f>T43-T45</f>
        <v/>
      </c>
      <c r="U47" s="7">
        <f>U43-U45</f>
        <v/>
      </c>
      <c r="V47" s="7">
        <f>V43-V45</f>
        <v/>
      </c>
      <c r="W47" s="7">
        <f>W43-W45</f>
        <v/>
      </c>
      <c r="X47" s="7">
        <f>X43-X45</f>
        <v/>
      </c>
      <c r="Y47" s="7">
        <f>Y43-Y45</f>
        <v/>
      </c>
      <c r="Z47" s="7">
        <f>Z43-Z45</f>
        <v/>
      </c>
    </row>
    <row r="48">
      <c r="A48" t="inlineStr">
        <is>
          <t>נטו מצטבר - עברית בלבד</t>
        </is>
      </c>
      <c r="B48" s="6" t="n"/>
      <c r="C48" s="7">
        <f>C46</f>
        <v/>
      </c>
      <c r="D48" s="7">
        <f>C48+D46</f>
        <v/>
      </c>
      <c r="E48" s="7">
        <f>D48+E46</f>
        <v/>
      </c>
      <c r="F48" s="7">
        <f>E48+F46</f>
        <v/>
      </c>
      <c r="G48" s="7">
        <f>F48+G46</f>
        <v/>
      </c>
      <c r="H48" s="7">
        <f>G48+H46</f>
        <v/>
      </c>
      <c r="I48" s="7">
        <f>H48+I46</f>
        <v/>
      </c>
      <c r="J48" s="7">
        <f>I48+J46</f>
        <v/>
      </c>
      <c r="K48" s="7">
        <f>J48+K46</f>
        <v/>
      </c>
      <c r="L48" s="7">
        <f>K48+L46</f>
        <v/>
      </c>
      <c r="M48" s="7">
        <f>L48+M46</f>
        <v/>
      </c>
      <c r="N48" s="7">
        <f>M48+N46</f>
        <v/>
      </c>
      <c r="O48" s="7">
        <f>N48+O46</f>
        <v/>
      </c>
      <c r="P48" s="7">
        <f>O48+P46</f>
        <v/>
      </c>
      <c r="Q48" s="7">
        <f>P48+Q46</f>
        <v/>
      </c>
      <c r="R48" s="7">
        <f>Q48+R46</f>
        <v/>
      </c>
      <c r="S48" s="7">
        <f>R48+S46</f>
        <v/>
      </c>
      <c r="T48" s="7">
        <f>S48+T46</f>
        <v/>
      </c>
      <c r="U48" s="7">
        <f>T48+U46</f>
        <v/>
      </c>
      <c r="V48" s="7">
        <f>U48+V46</f>
        <v/>
      </c>
      <c r="W48" s="7">
        <f>V48+W46</f>
        <v/>
      </c>
      <c r="X48" s="7">
        <f>W48+X46</f>
        <v/>
      </c>
      <c r="Y48" s="7">
        <f>X48+Y46</f>
        <v/>
      </c>
      <c r="Z48" s="7">
        <f>Y48+Z46</f>
        <v/>
      </c>
    </row>
    <row r="49">
      <c r="A49" t="inlineStr">
        <is>
          <t>נטו מצטבר - עברית+אנגלית</t>
        </is>
      </c>
      <c r="B49" s="6" t="n"/>
      <c r="C49" s="7">
        <f>C47</f>
        <v/>
      </c>
      <c r="D49" s="7">
        <f>C49+D47</f>
        <v/>
      </c>
      <c r="E49" s="7">
        <f>D49+E47</f>
        <v/>
      </c>
      <c r="F49" s="7">
        <f>E49+F47</f>
        <v/>
      </c>
      <c r="G49" s="7">
        <f>F49+G47</f>
        <v/>
      </c>
      <c r="H49" s="7">
        <f>G49+H47</f>
        <v/>
      </c>
      <c r="I49" s="7">
        <f>H49+I47</f>
        <v/>
      </c>
      <c r="J49" s="7">
        <f>I49+J47</f>
        <v/>
      </c>
      <c r="K49" s="7">
        <f>J49+K47</f>
        <v/>
      </c>
      <c r="L49" s="7">
        <f>K49+L47</f>
        <v/>
      </c>
      <c r="M49" s="7">
        <f>L49+M47</f>
        <v/>
      </c>
      <c r="N49" s="7">
        <f>M49+N47</f>
        <v/>
      </c>
      <c r="O49" s="7">
        <f>N49+O47</f>
        <v/>
      </c>
      <c r="P49" s="7">
        <f>O49+P47</f>
        <v/>
      </c>
      <c r="Q49" s="7">
        <f>P49+Q47</f>
        <v/>
      </c>
      <c r="R49" s="7">
        <f>Q49+R47</f>
        <v/>
      </c>
      <c r="S49" s="7">
        <f>R49+S47</f>
        <v/>
      </c>
      <c r="T49" s="7">
        <f>S49+T47</f>
        <v/>
      </c>
      <c r="U49" s="7">
        <f>T49+U47</f>
        <v/>
      </c>
      <c r="V49" s="7">
        <f>U49+V47</f>
        <v/>
      </c>
      <c r="W49" s="7">
        <f>V49+W47</f>
        <v/>
      </c>
      <c r="X49" s="7">
        <f>W49+X47</f>
        <v/>
      </c>
      <c r="Y49" s="7">
        <f>X49+Y47</f>
        <v/>
      </c>
      <c r="Z49" s="7">
        <f>Y49+Z47</f>
        <v/>
      </c>
    </row>
    <row r="50">
      <c r="A50" t="inlineStr">
        <is>
          <t>נטו מצטבר כולל ערך זמן פיתוח - עברית בלבד</t>
        </is>
      </c>
      <c r="B50" s="6" t="n"/>
      <c r="C50" s="7">
        <f>C48-SUM(Costs!$C$15:C$15)</f>
        <v/>
      </c>
      <c r="D50" s="7">
        <f>D48-SUM(Costs!$C$15:D$15)</f>
        <v/>
      </c>
      <c r="E50" s="7">
        <f>E48-SUM(Costs!$C$15:E$15)</f>
        <v/>
      </c>
      <c r="F50" s="7">
        <f>F48-SUM(Costs!$C$15:F$15)</f>
        <v/>
      </c>
      <c r="G50" s="7">
        <f>G48-SUM(Costs!$C$15:G$15)</f>
        <v/>
      </c>
      <c r="H50" s="7">
        <f>H48-SUM(Costs!$C$15:H$15)</f>
        <v/>
      </c>
      <c r="I50" s="7">
        <f>I48-SUM(Costs!$C$15:I$15)</f>
        <v/>
      </c>
      <c r="J50" s="7">
        <f>J48-SUM(Costs!$C$15:J$15)</f>
        <v/>
      </c>
      <c r="K50" s="7">
        <f>K48-SUM(Costs!$C$15:K$15)</f>
        <v/>
      </c>
      <c r="L50" s="7">
        <f>L48-SUM(Costs!$C$15:L$15)</f>
        <v/>
      </c>
      <c r="M50" s="7">
        <f>M48-SUM(Costs!$C$15:M$15)</f>
        <v/>
      </c>
      <c r="N50" s="7">
        <f>N48-SUM(Costs!$C$15:N$15)</f>
        <v/>
      </c>
      <c r="O50" s="7">
        <f>O48-SUM(Costs!$C$15:O$15)</f>
        <v/>
      </c>
      <c r="P50" s="7">
        <f>P48-SUM(Costs!$C$15:P$15)</f>
        <v/>
      </c>
      <c r="Q50" s="7">
        <f>Q48-SUM(Costs!$C$15:Q$15)</f>
        <v/>
      </c>
      <c r="R50" s="7">
        <f>R48-SUM(Costs!$C$15:R$15)</f>
        <v/>
      </c>
      <c r="S50" s="7">
        <f>S48-SUM(Costs!$C$15:S$15)</f>
        <v/>
      </c>
      <c r="T50" s="7">
        <f>T48-SUM(Costs!$C$15:T$15)</f>
        <v/>
      </c>
      <c r="U50" s="7">
        <f>U48-SUM(Costs!$C$15:U$15)</f>
        <v/>
      </c>
      <c r="V50" s="7">
        <f>V48-SUM(Costs!$C$15:V$15)</f>
        <v/>
      </c>
      <c r="W50" s="7">
        <f>W48-SUM(Costs!$C$15:W$15)</f>
        <v/>
      </c>
      <c r="X50" s="7">
        <f>X48-SUM(Costs!$C$15:X$15)</f>
        <v/>
      </c>
      <c r="Y50" s="7">
        <f>Y48-SUM(Costs!$C$15:Y$15)</f>
        <v/>
      </c>
      <c r="Z50" s="7">
        <f>Z48-SUM(Costs!$C$15:Z$15)</f>
        <v/>
      </c>
    </row>
    <row r="51">
      <c r="A51" t="inlineStr">
        <is>
          <t>נטו מצטבר כולל ערך זמן פיתוח - עברית+אנגלית</t>
        </is>
      </c>
      <c r="B51" s="6" t="n"/>
      <c r="C51" s="7">
        <f>C49-SUM(Costs!$C$15:C$15)</f>
        <v/>
      </c>
      <c r="D51" s="7">
        <f>D49-SUM(Costs!$C$15:D$15)</f>
        <v/>
      </c>
      <c r="E51" s="7">
        <f>E49-SUM(Costs!$C$15:E$15)</f>
        <v/>
      </c>
      <c r="F51" s="7">
        <f>F49-SUM(Costs!$C$15:F$15)</f>
        <v/>
      </c>
      <c r="G51" s="7">
        <f>G49-SUM(Costs!$C$15:G$15)</f>
        <v/>
      </c>
      <c r="H51" s="7">
        <f>H49-SUM(Costs!$C$15:H$15)</f>
        <v/>
      </c>
      <c r="I51" s="7">
        <f>I49-SUM(Costs!$C$15:I$15)</f>
        <v/>
      </c>
      <c r="J51" s="7">
        <f>J49-SUM(Costs!$C$15:J$15)</f>
        <v/>
      </c>
      <c r="K51" s="7">
        <f>K49-SUM(Costs!$C$15:K$15)</f>
        <v/>
      </c>
      <c r="L51" s="7">
        <f>L49-SUM(Costs!$C$15:L$15)</f>
        <v/>
      </c>
      <c r="M51" s="7">
        <f>M49-SUM(Costs!$C$15:M$15)</f>
        <v/>
      </c>
      <c r="N51" s="7">
        <f>N49-SUM(Costs!$C$15:N$15)</f>
        <v/>
      </c>
      <c r="O51" s="7">
        <f>O49-SUM(Costs!$C$15:O$15)</f>
        <v/>
      </c>
      <c r="P51" s="7">
        <f>P49-SUM(Costs!$C$15:P$15)</f>
        <v/>
      </c>
      <c r="Q51" s="7">
        <f>Q49-SUM(Costs!$C$15:Q$15)</f>
        <v/>
      </c>
      <c r="R51" s="7">
        <f>R49-SUM(Costs!$C$15:R$15)</f>
        <v/>
      </c>
      <c r="S51" s="7">
        <f>S49-SUM(Costs!$C$15:S$15)</f>
        <v/>
      </c>
      <c r="T51" s="7">
        <f>T49-SUM(Costs!$C$15:T$15)</f>
        <v/>
      </c>
      <c r="U51" s="7">
        <f>U49-SUM(Costs!$C$15:U$15)</f>
        <v/>
      </c>
      <c r="V51" s="7">
        <f>V49-SUM(Costs!$C$15:V$15)</f>
        <v/>
      </c>
      <c r="W51" s="7">
        <f>W49-SUM(Costs!$C$15:W$15)</f>
        <v/>
      </c>
      <c r="X51" s="7">
        <f>X49-SUM(Costs!$C$15:X$15)</f>
        <v/>
      </c>
      <c r="Y51" s="7">
        <f>Y49-SUM(Costs!$C$15:Y$15)</f>
        <v/>
      </c>
      <c r="Z51" s="7">
        <f>Z49-SUM(Costs!$C$15:Z$15)</f>
        <v/>
      </c>
    </row>
    <row r="52">
      <c r="A52" t="inlineStr">
        <is>
          <t>עזר: חודש כשהמצטבר &gt;=0 (cum_he)</t>
        </is>
      </c>
      <c r="B52" s="6">
        <f>IF(COUNT(C52:Z52)=0,"לא בתוך 24 חודשים",MIN(C52:Z52))</f>
        <v/>
      </c>
      <c r="C52" s="7">
        <f>IF(C48&gt;=0,C$3,"")</f>
        <v/>
      </c>
      <c r="D52" s="7">
        <f>IF(D48&gt;=0,D$3,"")</f>
        <v/>
      </c>
      <c r="E52" s="7">
        <f>IF(E48&gt;=0,E$3,"")</f>
        <v/>
      </c>
      <c r="F52" s="7">
        <f>IF(F48&gt;=0,F$3,"")</f>
        <v/>
      </c>
      <c r="G52" s="7">
        <f>IF(G48&gt;=0,G$3,"")</f>
        <v/>
      </c>
      <c r="H52" s="7">
        <f>IF(H48&gt;=0,H$3,"")</f>
        <v/>
      </c>
      <c r="I52" s="7">
        <f>IF(I48&gt;=0,I$3,"")</f>
        <v/>
      </c>
      <c r="J52" s="7">
        <f>IF(J48&gt;=0,J$3,"")</f>
        <v/>
      </c>
      <c r="K52" s="7">
        <f>IF(K48&gt;=0,K$3,"")</f>
        <v/>
      </c>
      <c r="L52" s="7">
        <f>IF(L48&gt;=0,L$3,"")</f>
        <v/>
      </c>
      <c r="M52" s="7">
        <f>IF(M48&gt;=0,M$3,"")</f>
        <v/>
      </c>
      <c r="N52" s="7">
        <f>IF(N48&gt;=0,N$3,"")</f>
        <v/>
      </c>
      <c r="O52" s="7">
        <f>IF(O48&gt;=0,O$3,"")</f>
        <v/>
      </c>
      <c r="P52" s="7">
        <f>IF(P48&gt;=0,P$3,"")</f>
        <v/>
      </c>
      <c r="Q52" s="7">
        <f>IF(Q48&gt;=0,Q$3,"")</f>
        <v/>
      </c>
      <c r="R52" s="7">
        <f>IF(R48&gt;=0,R$3,"")</f>
        <v/>
      </c>
      <c r="S52" s="7">
        <f>IF(S48&gt;=0,S$3,"")</f>
        <v/>
      </c>
      <c r="T52" s="7">
        <f>IF(T48&gt;=0,T$3,"")</f>
        <v/>
      </c>
      <c r="U52" s="7">
        <f>IF(U48&gt;=0,U$3,"")</f>
        <v/>
      </c>
      <c r="V52" s="7">
        <f>IF(V48&gt;=0,V$3,"")</f>
        <v/>
      </c>
      <c r="W52" s="7">
        <f>IF(W48&gt;=0,W$3,"")</f>
        <v/>
      </c>
      <c r="X52" s="7">
        <f>IF(X48&gt;=0,X$3,"")</f>
        <v/>
      </c>
      <c r="Y52" s="7">
        <f>IF(Y48&gt;=0,Y$3,"")</f>
        <v/>
      </c>
      <c r="Z52" s="7">
        <f>IF(Z48&gt;=0,Z$3,"")</f>
        <v/>
      </c>
    </row>
    <row r="53">
      <c r="A53" t="inlineStr">
        <is>
          <t>עזר: חודש כשהמצטבר &gt;=0 (cum_all)</t>
        </is>
      </c>
      <c r="B53" s="6">
        <f>IF(COUNT(C53:Z53)=0,"לא בתוך 24 חודשים",MIN(C53:Z53))</f>
        <v/>
      </c>
      <c r="C53" s="7">
        <f>IF(C49&gt;=0,C$3,"")</f>
        <v/>
      </c>
      <c r="D53" s="7">
        <f>IF(D49&gt;=0,D$3,"")</f>
        <v/>
      </c>
      <c r="E53" s="7">
        <f>IF(E49&gt;=0,E$3,"")</f>
        <v/>
      </c>
      <c r="F53" s="7">
        <f>IF(F49&gt;=0,F$3,"")</f>
        <v/>
      </c>
      <c r="G53" s="7">
        <f>IF(G49&gt;=0,G$3,"")</f>
        <v/>
      </c>
      <c r="H53" s="7">
        <f>IF(H49&gt;=0,H$3,"")</f>
        <v/>
      </c>
      <c r="I53" s="7">
        <f>IF(I49&gt;=0,I$3,"")</f>
        <v/>
      </c>
      <c r="J53" s="7">
        <f>IF(J49&gt;=0,J$3,"")</f>
        <v/>
      </c>
      <c r="K53" s="7">
        <f>IF(K49&gt;=0,K$3,"")</f>
        <v/>
      </c>
      <c r="L53" s="7">
        <f>IF(L49&gt;=0,L$3,"")</f>
        <v/>
      </c>
      <c r="M53" s="7">
        <f>IF(M49&gt;=0,M$3,"")</f>
        <v/>
      </c>
      <c r="N53" s="7">
        <f>IF(N49&gt;=0,N$3,"")</f>
        <v/>
      </c>
      <c r="O53" s="7">
        <f>IF(O49&gt;=0,O$3,"")</f>
        <v/>
      </c>
      <c r="P53" s="7">
        <f>IF(P49&gt;=0,P$3,"")</f>
        <v/>
      </c>
      <c r="Q53" s="7">
        <f>IF(Q49&gt;=0,Q$3,"")</f>
        <v/>
      </c>
      <c r="R53" s="7">
        <f>IF(R49&gt;=0,R$3,"")</f>
        <v/>
      </c>
      <c r="S53" s="7">
        <f>IF(S49&gt;=0,S$3,"")</f>
        <v/>
      </c>
      <c r="T53" s="7">
        <f>IF(T49&gt;=0,T$3,"")</f>
        <v/>
      </c>
      <c r="U53" s="7">
        <f>IF(U49&gt;=0,U$3,"")</f>
        <v/>
      </c>
      <c r="V53" s="7">
        <f>IF(V49&gt;=0,V$3,"")</f>
        <v/>
      </c>
      <c r="W53" s="7">
        <f>IF(W49&gt;=0,W$3,"")</f>
        <v/>
      </c>
      <c r="X53" s="7">
        <f>IF(X49&gt;=0,X$3,"")</f>
        <v/>
      </c>
      <c r="Y53" s="7">
        <f>IF(Y49&gt;=0,Y$3,"")</f>
        <v/>
      </c>
      <c r="Z53" s="7">
        <f>IF(Z49&gt;=0,Z$3,"")</f>
        <v/>
      </c>
    </row>
    <row r="54">
      <c r="A54" t="inlineStr">
        <is>
          <t>עזר: חודש כשהמצטבר &gt;=0 (cumd_he)</t>
        </is>
      </c>
      <c r="B54" s="6">
        <f>IF(COUNT(C54:Z54)=0,"לא בתוך 24 חודשים",MIN(C54:Z54))</f>
        <v/>
      </c>
      <c r="C54" s="7">
        <f>IF(C50&gt;=0,C$3,"")</f>
        <v/>
      </c>
      <c r="D54" s="7">
        <f>IF(D50&gt;=0,D$3,"")</f>
        <v/>
      </c>
      <c r="E54" s="7">
        <f>IF(E50&gt;=0,E$3,"")</f>
        <v/>
      </c>
      <c r="F54" s="7">
        <f>IF(F50&gt;=0,F$3,"")</f>
        <v/>
      </c>
      <c r="G54" s="7">
        <f>IF(G50&gt;=0,G$3,"")</f>
        <v/>
      </c>
      <c r="H54" s="7">
        <f>IF(H50&gt;=0,H$3,"")</f>
        <v/>
      </c>
      <c r="I54" s="7">
        <f>IF(I50&gt;=0,I$3,"")</f>
        <v/>
      </c>
      <c r="J54" s="7">
        <f>IF(J50&gt;=0,J$3,"")</f>
        <v/>
      </c>
      <c r="K54" s="7">
        <f>IF(K50&gt;=0,K$3,"")</f>
        <v/>
      </c>
      <c r="L54" s="7">
        <f>IF(L50&gt;=0,L$3,"")</f>
        <v/>
      </c>
      <c r="M54" s="7">
        <f>IF(M50&gt;=0,M$3,"")</f>
        <v/>
      </c>
      <c r="N54" s="7">
        <f>IF(N50&gt;=0,N$3,"")</f>
        <v/>
      </c>
      <c r="O54" s="7">
        <f>IF(O50&gt;=0,O$3,"")</f>
        <v/>
      </c>
      <c r="P54" s="7">
        <f>IF(P50&gt;=0,P$3,"")</f>
        <v/>
      </c>
      <c r="Q54" s="7">
        <f>IF(Q50&gt;=0,Q$3,"")</f>
        <v/>
      </c>
      <c r="R54" s="7">
        <f>IF(R50&gt;=0,R$3,"")</f>
        <v/>
      </c>
      <c r="S54" s="7">
        <f>IF(S50&gt;=0,S$3,"")</f>
        <v/>
      </c>
      <c r="T54" s="7">
        <f>IF(T50&gt;=0,T$3,"")</f>
        <v/>
      </c>
      <c r="U54" s="7">
        <f>IF(U50&gt;=0,U$3,"")</f>
        <v/>
      </c>
      <c r="V54" s="7">
        <f>IF(V50&gt;=0,V$3,"")</f>
        <v/>
      </c>
      <c r="W54" s="7">
        <f>IF(W50&gt;=0,W$3,"")</f>
        <v/>
      </c>
      <c r="X54" s="7">
        <f>IF(X50&gt;=0,X$3,"")</f>
        <v/>
      </c>
      <c r="Y54" s="7">
        <f>IF(Y50&gt;=0,Y$3,"")</f>
        <v/>
      </c>
      <c r="Z54" s="7">
        <f>IF(Z50&gt;=0,Z$3,"")</f>
        <v/>
      </c>
    </row>
    <row r="55">
      <c r="A55" t="inlineStr">
        <is>
          <t>עזר: חודש כשהמצטבר &gt;=0 (cumd_all)</t>
        </is>
      </c>
      <c r="B55" s="6">
        <f>IF(COUNT(C55:Z55)=0,"לא בתוך 24 חודשים",MIN(C55:Z55))</f>
        <v/>
      </c>
      <c r="C55" s="7">
        <f>IF(C51&gt;=0,C$3,"")</f>
        <v/>
      </c>
      <c r="D55" s="7">
        <f>IF(D51&gt;=0,D$3,"")</f>
        <v/>
      </c>
      <c r="E55" s="7">
        <f>IF(E51&gt;=0,E$3,"")</f>
        <v/>
      </c>
      <c r="F55" s="7">
        <f>IF(F51&gt;=0,F$3,"")</f>
        <v/>
      </c>
      <c r="G55" s="7">
        <f>IF(G51&gt;=0,G$3,"")</f>
        <v/>
      </c>
      <c r="H55" s="7">
        <f>IF(H51&gt;=0,H$3,"")</f>
        <v/>
      </c>
      <c r="I55" s="7">
        <f>IF(I51&gt;=0,I$3,"")</f>
        <v/>
      </c>
      <c r="J55" s="7">
        <f>IF(J51&gt;=0,J$3,"")</f>
        <v/>
      </c>
      <c r="K55" s="7">
        <f>IF(K51&gt;=0,K$3,"")</f>
        <v/>
      </c>
      <c r="L55" s="7">
        <f>IF(L51&gt;=0,L$3,"")</f>
        <v/>
      </c>
      <c r="M55" s="7">
        <f>IF(M51&gt;=0,M$3,"")</f>
        <v/>
      </c>
      <c r="N55" s="7">
        <f>IF(N51&gt;=0,N$3,"")</f>
        <v/>
      </c>
      <c r="O55" s="7">
        <f>IF(O51&gt;=0,O$3,"")</f>
        <v/>
      </c>
      <c r="P55" s="7">
        <f>IF(P51&gt;=0,P$3,"")</f>
        <v/>
      </c>
      <c r="Q55" s="7">
        <f>IF(Q51&gt;=0,Q$3,"")</f>
        <v/>
      </c>
      <c r="R55" s="7">
        <f>IF(R51&gt;=0,R$3,"")</f>
        <v/>
      </c>
      <c r="S55" s="7">
        <f>IF(S51&gt;=0,S$3,"")</f>
        <v/>
      </c>
      <c r="T55" s="7">
        <f>IF(T51&gt;=0,T$3,"")</f>
        <v/>
      </c>
      <c r="U55" s="7">
        <f>IF(U51&gt;=0,U$3,"")</f>
        <v/>
      </c>
      <c r="V55" s="7">
        <f>IF(V51&gt;=0,V$3,"")</f>
        <v/>
      </c>
      <c r="W55" s="7">
        <f>IF(W51&gt;=0,W$3,"")</f>
        <v/>
      </c>
      <c r="X55" s="7">
        <f>IF(X51&gt;=0,X$3,"")</f>
        <v/>
      </c>
      <c r="Y55" s="7">
        <f>IF(Y51&gt;=0,Y$3,"")</f>
        <v/>
      </c>
      <c r="Z55" s="7">
        <f>IF(Z51&gt;=0,Z$3,"")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2026-10-20T17:17:20Z</dcterms:created>
  <dcterms:modified xmlns:dcterms="http://purl.org/dc/terms/" xmlns:xsi="http://www.w3.org/2001/XMLSchema-instance" xsi:type="dcterms:W3CDTF">2026-10-20T17:17:20Z</dcterms:modified>
</cp:coreProperties>
</file>